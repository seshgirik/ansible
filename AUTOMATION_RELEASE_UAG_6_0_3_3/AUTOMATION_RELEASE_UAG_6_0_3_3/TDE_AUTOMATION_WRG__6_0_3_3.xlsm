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mc:AlternateContent xmlns:mc="http://schemas.openxmlformats.org/markup-compatibility/2006">
    <mc:Choice Requires="x15">
      <x15ac:absPath xmlns:x15ac="http://schemas.microsoft.com/office/spreadsheetml/2010/11/ac" url="C:\Users\sgolla\Desktop\Rakuten\Anisible\AUTOMATION_RELEASE_UAG_6_0_3_3\"/>
    </mc:Choice>
  </mc:AlternateContent>
  <bookViews>
    <workbookView minimized="1" xWindow="0" yWindow="0" windowWidth="19200" windowHeight="6930" tabRatio="759"/>
  </bookViews>
  <sheets>
    <sheet name="Summary" sheetId="19" r:id="rId1"/>
    <sheet name="Raid Config" sheetId="20" r:id="rId2"/>
    <sheet name="OS Config" sheetId="10" r:id="rId3"/>
    <sheet name="Controller Config" sheetId="12" r:id="rId4"/>
    <sheet name="Network Config" sheetId="11" r:id="rId5"/>
    <sheet name="Host Config" sheetId="13" r:id="rId6"/>
    <sheet name="Flavor" sheetId="5" r:id="rId7"/>
    <sheet name="IDRAC_Inventory" sheetId="6" r:id="rId8"/>
    <sheet name="HeatTemplate_Conf" sheetId="9" r:id="rId9"/>
    <sheet name="Instantiating CMS" sheetId="2" r:id="rId10"/>
    <sheet name="Instantiating VNFM" sheetId="4" r:id="rId11"/>
    <sheet name="CRDL" sheetId="23" r:id="rId12"/>
    <sheet name="CONTROLLER_Inventory" sheetId="7" r:id="rId13"/>
    <sheet name="VLD" sheetId="15" r:id="rId14"/>
    <sheet name="VNFD" sheetId="16" r:id="rId15"/>
    <sheet name="NSD" sheetId="17" r:id="rId16"/>
    <sheet name="LVND" sheetId="18" r:id="rId17"/>
    <sheet name="LCMD" sheetId="21" r:id="rId18"/>
    <sheet name="VNFM_config" sheetId="1" r:id="rId19"/>
    <sheet name="Ping_Test" sheetId="22" r:id="rId20"/>
  </sheets>
  <functionGroups builtInGroupCount="18"/>
  <definedNames>
    <definedName name="ExtraCredit">#REF!</definedName>
    <definedName name="Fruit">#REF!</definedName>
    <definedName name="Items">#REF!</definedName>
    <definedName name="Meat">#REF!</definedName>
    <definedName name="MoreFruit">#REF!</definedName>
    <definedName name="MoreItem">#REF!</definedName>
    <definedName name="MoreItems">#REF!</definedName>
    <definedName name="SUMExtraCredit">#REF!</definedName>
    <definedName name="SUMIF">#REF!</definedName>
    <definedName name="SUMIFExtraCredit">#REF!</definedName>
    <definedName name="Total">#REF!</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9" i="1" l="1"/>
  <c r="F9" i="4" l="1"/>
  <c r="E9" i="4"/>
  <c r="F8" i="4"/>
  <c r="E8" i="4"/>
  <c r="F6" i="4"/>
  <c r="E6" i="4"/>
  <c r="E18" i="23" l="1"/>
  <c r="C18" i="23" l="1"/>
  <c r="D18" i="23"/>
  <c r="B18" i="23"/>
  <c r="B24" i="9" l="1"/>
  <c r="B15" i="1" l="1"/>
</calcChain>
</file>

<file path=xl/comments1.xml><?xml version="1.0" encoding="utf-8"?>
<comments xmlns="http://schemas.openxmlformats.org/spreadsheetml/2006/main">
  <authors>
    <author>Sanjeev Seera</author>
    <author>Sriram G N</author>
  </authors>
  <commentList>
    <comment ref="A3" authorId="0" shapeId="0">
      <text>
        <r>
          <rPr>
            <b/>
            <sz val="9"/>
            <color indexed="81"/>
            <rFont val="Tahoma"/>
            <family val="2"/>
          </rPr>
          <t>## Mavenir CMS cloud Deployment version 1.2</t>
        </r>
      </text>
    </comment>
    <comment ref="D3" authorId="0" shapeId="0">
      <text>
        <r>
          <rPr>
            <b/>
            <sz val="9"/>
            <color indexed="81"/>
            <rFont val="Tahoma"/>
            <family val="2"/>
          </rPr>
          <t>## Mavenir CMS cloud Deployment version 1.2</t>
        </r>
      </text>
    </comment>
    <comment ref="A4" authorId="0" shapeId="0">
      <text>
        <r>
          <rPr>
            <b/>
            <sz val="9"/>
            <color indexed="81"/>
            <rFont val="Tahoma"/>
            <family val="2"/>
          </rPr>
          <t xml:space="preserve">#parameter_defaults:
</t>
        </r>
      </text>
    </comment>
    <comment ref="D4" authorId="0" shapeId="0">
      <text>
        <r>
          <rPr>
            <b/>
            <sz val="9"/>
            <color indexed="81"/>
            <rFont val="Tahoma"/>
            <family val="2"/>
          </rPr>
          <t xml:space="preserve">#parameter_defaults:
</t>
        </r>
      </text>
    </comment>
    <comment ref="A5" authorId="0" shapeId="0">
      <text>
        <r>
          <rPr>
            <b/>
            <sz val="9"/>
            <color indexed="81"/>
            <rFont val="Tahoma"/>
            <family val="2"/>
          </rPr>
          <t xml:space="preserve">parameters:
</t>
        </r>
      </text>
    </comment>
    <comment ref="D5" authorId="0" shapeId="0">
      <text>
        <r>
          <rPr>
            <b/>
            <sz val="9"/>
            <color indexed="81"/>
            <rFont val="Tahoma"/>
            <family val="2"/>
          </rPr>
          <t xml:space="preserve">parameters:
</t>
        </r>
      </text>
    </comment>
    <comment ref="A6" authorId="0" shapeId="0">
      <text>
        <r>
          <rPr>
            <b/>
            <sz val="9"/>
            <color indexed="81"/>
            <rFont val="Tahoma"/>
            <family val="2"/>
          </rPr>
          <t>### VNF_NAME and ID</t>
        </r>
      </text>
    </comment>
    <comment ref="D6" authorId="0" shapeId="0">
      <text>
        <r>
          <rPr>
            <b/>
            <sz val="9"/>
            <color indexed="81"/>
            <rFont val="Tahoma"/>
            <family val="2"/>
          </rPr>
          <t>### VNF_NAME and ID</t>
        </r>
      </text>
    </comment>
    <comment ref="A13" authorId="0" shapeId="0">
      <text>
        <r>
          <rPr>
            <b/>
            <sz val="9"/>
            <color indexed="81"/>
            <rFont val="Tahoma"/>
            <family val="2"/>
          </rPr>
          <t>### VM Name</t>
        </r>
      </text>
    </comment>
    <comment ref="D13" authorId="0" shapeId="0">
      <text>
        <r>
          <rPr>
            <b/>
            <sz val="9"/>
            <color indexed="81"/>
            <rFont val="Tahoma"/>
            <family val="2"/>
          </rPr>
          <t>### VM Name</t>
        </r>
      </text>
    </comment>
    <comment ref="A16" authorId="0" shapeId="0">
      <text>
        <r>
          <rPr>
            <b/>
            <sz val="9"/>
            <color indexed="81"/>
            <rFont val="Tahoma"/>
            <family val="2"/>
          </rPr>
          <t>### Falvors</t>
        </r>
      </text>
    </comment>
    <comment ref="D16" authorId="0" shapeId="0">
      <text>
        <r>
          <rPr>
            <b/>
            <sz val="9"/>
            <color indexed="81"/>
            <rFont val="Tahoma"/>
            <family val="2"/>
          </rPr>
          <t>### Falvors</t>
        </r>
      </text>
    </comment>
    <comment ref="A18" authorId="0" shapeId="0">
      <text>
        <r>
          <rPr>
            <b/>
            <sz val="9"/>
            <color indexed="81"/>
            <rFont val="Tahoma"/>
            <family val="2"/>
          </rPr>
          <t>### CMS Glane Image Name</t>
        </r>
      </text>
    </comment>
    <comment ref="D18" authorId="0" shapeId="0">
      <text>
        <r>
          <rPr>
            <b/>
            <sz val="9"/>
            <color indexed="81"/>
            <rFont val="Tahoma"/>
            <family val="2"/>
          </rPr>
          <t>### CMS Glane Image Name</t>
        </r>
      </text>
    </comment>
    <comment ref="A20" authorId="0" shapeId="0">
      <text>
        <r>
          <rPr>
            <b/>
            <sz val="9"/>
            <color indexed="81"/>
            <rFont val="Tahoma"/>
            <family val="2"/>
          </rPr>
          <t>### Confd Connection for mOne based Product</t>
        </r>
      </text>
    </comment>
    <comment ref="D20" authorId="0" shapeId="0">
      <text>
        <r>
          <rPr>
            <b/>
            <sz val="9"/>
            <color indexed="81"/>
            <rFont val="Tahoma"/>
            <family val="2"/>
          </rPr>
          <t>### Confd Connection for mOne based Product</t>
        </r>
      </text>
    </comment>
    <comment ref="A22" authorId="0" shapeId="0">
      <text>
        <r>
          <rPr>
            <b/>
            <sz val="9"/>
            <color indexed="81"/>
            <rFont val="Tahoma"/>
            <family val="2"/>
          </rPr>
          <t>### Confd Connection for DSC based Product</t>
        </r>
      </text>
    </comment>
    <comment ref="D22" authorId="0" shapeId="0">
      <text>
        <r>
          <rPr>
            <b/>
            <sz val="9"/>
            <color indexed="81"/>
            <rFont val="Tahoma"/>
            <family val="2"/>
          </rPr>
          <t>### Confd Connection for DSC based Product</t>
        </r>
      </text>
    </comment>
    <comment ref="A24" authorId="0" shapeId="0">
      <text>
        <r>
          <rPr>
            <b/>
            <sz val="9"/>
            <color indexed="81"/>
            <rFont val="Tahoma"/>
            <family val="2"/>
          </rPr>
          <t>### Confd Connection for VNFM based Product</t>
        </r>
      </text>
    </comment>
    <comment ref="D24" authorId="0" shapeId="0">
      <text>
        <r>
          <rPr>
            <b/>
            <sz val="9"/>
            <color indexed="81"/>
            <rFont val="Tahoma"/>
            <family val="2"/>
          </rPr>
          <t>### Confd Connection for VNFM based Product</t>
        </r>
      </text>
    </comment>
    <comment ref="A26" authorId="0" shapeId="0">
      <text>
        <r>
          <rPr>
            <b/>
            <sz val="9"/>
            <color indexed="81"/>
            <rFont val="Tahoma"/>
            <family val="2"/>
          </rPr>
          <t>### Check if HA mode is enabled and update the parameter</t>
        </r>
        <r>
          <rPr>
            <sz val="9"/>
            <color indexed="81"/>
            <rFont val="Tahoma"/>
            <family val="2"/>
          </rPr>
          <t xml:space="preserve">
</t>
        </r>
      </text>
    </comment>
    <comment ref="D26" authorId="0" shapeId="0">
      <text>
        <r>
          <rPr>
            <b/>
            <sz val="9"/>
            <color indexed="81"/>
            <rFont val="Tahoma"/>
            <family val="2"/>
          </rPr>
          <t>### Check if HA mode is enabled and update the parameter</t>
        </r>
        <r>
          <rPr>
            <sz val="9"/>
            <color indexed="81"/>
            <rFont val="Tahoma"/>
            <family val="2"/>
          </rPr>
          <t xml:space="preserve">
</t>
        </r>
      </text>
    </comment>
    <comment ref="A28" authorId="0" shapeId="0">
      <text>
        <r>
          <rPr>
            <b/>
            <sz val="9"/>
            <color indexed="81"/>
            <rFont val="Tahoma"/>
            <family val="2"/>
          </rPr>
          <t>### Check if CMS HA mode is enabled and update the parameter</t>
        </r>
        <r>
          <rPr>
            <sz val="9"/>
            <color indexed="81"/>
            <rFont val="Tahoma"/>
            <family val="2"/>
          </rPr>
          <t xml:space="preserve">
</t>
        </r>
      </text>
    </comment>
    <comment ref="D28" authorId="0" shapeId="0">
      <text>
        <r>
          <rPr>
            <b/>
            <sz val="9"/>
            <color indexed="81"/>
            <rFont val="Tahoma"/>
            <family val="2"/>
          </rPr>
          <t>### OAM Network UUID</t>
        </r>
      </text>
    </comment>
    <comment ref="A30" authorId="0" shapeId="0">
      <text>
        <r>
          <rPr>
            <b/>
            <sz val="9"/>
            <color indexed="81"/>
            <rFont val="Tahoma"/>
            <family val="2"/>
          </rPr>
          <t>### OAM Network UUID</t>
        </r>
      </text>
    </comment>
    <comment ref="D32" authorId="1" shapeId="0">
      <text>
        <r>
          <rPr>
            <b/>
            <sz val="9"/>
            <color indexed="81"/>
            <rFont val="Tahoma"/>
            <family val="2"/>
          </rPr>
          <t>###VOLUMES</t>
        </r>
      </text>
    </comment>
    <comment ref="A35" authorId="0" shapeId="0">
      <text>
        <r>
          <rPr>
            <b/>
            <sz val="9"/>
            <color indexed="81"/>
            <rFont val="Tahoma"/>
            <family val="2"/>
          </rPr>
          <t>### OAM Network IPs</t>
        </r>
      </text>
    </comment>
    <comment ref="D35" authorId="0" shapeId="0">
      <text>
        <r>
          <rPr>
            <b/>
            <sz val="9"/>
            <color indexed="81"/>
            <rFont val="Tahoma"/>
            <family val="2"/>
          </rPr>
          <t>### OAM Network IPs</t>
        </r>
      </text>
    </comment>
    <comment ref="A38" authorId="0" shapeId="0">
      <text>
        <r>
          <rPr>
            <b/>
            <sz val="9"/>
            <color indexed="81"/>
            <rFont val="Tahoma"/>
            <family val="2"/>
          </rPr>
          <t>### CMS_Active_Standby_IPs [Active IP, Standby IP]</t>
        </r>
      </text>
    </comment>
    <comment ref="D44" authorId="0" shapeId="0">
      <text>
        <r>
          <rPr>
            <b/>
            <sz val="9"/>
            <color indexed="81"/>
            <rFont val="Tahoma"/>
            <family val="2"/>
          </rPr>
          <t>### CMS_Active_Standby_IPs [Active IP, Standby IP]</t>
        </r>
      </text>
    </comment>
    <comment ref="D48" authorId="0" shapeId="0">
      <text>
        <r>
          <rPr>
            <b/>
            <sz val="9"/>
            <color indexed="81"/>
            <rFont val="Tahoma"/>
            <family val="2"/>
          </rPr>
          <t>### CMS_Active_Standby_IPs [Active IP, Standby IP]</t>
        </r>
      </text>
    </comment>
  </commentList>
</comments>
</file>

<file path=xl/comments2.xml><?xml version="1.0" encoding="utf-8"?>
<comments xmlns="http://schemas.openxmlformats.org/spreadsheetml/2006/main">
  <authors>
    <author>Sanjeev Seera</author>
    <author>Sriram G N</author>
  </authors>
  <commentList>
    <comment ref="A3" authorId="0" shapeId="0">
      <text>
        <r>
          <rPr>
            <b/>
            <sz val="9"/>
            <color indexed="81"/>
            <rFont val="Tahoma"/>
            <family val="2"/>
          </rPr>
          <t>## Mavenir VNFM=7.1.5.14 Cloud Deployment</t>
        </r>
      </text>
    </comment>
    <comment ref="D3" authorId="0" shapeId="0">
      <text>
        <r>
          <rPr>
            <b/>
            <sz val="9"/>
            <color indexed="81"/>
            <rFont val="Tahoma"/>
            <family val="2"/>
          </rPr>
          <t>## Mavenir VNFM-7.1.5.14 Cloud Deployment</t>
        </r>
      </text>
    </comment>
    <comment ref="A4" authorId="0" shapeId="0">
      <text>
        <r>
          <rPr>
            <b/>
            <sz val="9"/>
            <color indexed="81"/>
            <rFont val="Tahoma"/>
            <family val="2"/>
          </rPr>
          <t>#parameter_defaults:</t>
        </r>
      </text>
    </comment>
    <comment ref="D4" authorId="0" shapeId="0">
      <text>
        <r>
          <rPr>
            <b/>
            <sz val="9"/>
            <color indexed="81"/>
            <rFont val="Tahoma"/>
            <family val="2"/>
          </rPr>
          <t>#parameter_defaults:</t>
        </r>
      </text>
    </comment>
    <comment ref="A5" authorId="0" shapeId="0">
      <text>
        <r>
          <rPr>
            <b/>
            <sz val="9"/>
            <color indexed="81"/>
            <rFont val="Tahoma"/>
            <family val="2"/>
          </rPr>
          <t xml:space="preserve">parameters:
</t>
        </r>
      </text>
    </comment>
    <comment ref="D5" authorId="0" shapeId="0">
      <text>
        <r>
          <rPr>
            <b/>
            <sz val="9"/>
            <color indexed="81"/>
            <rFont val="Tahoma"/>
            <family val="2"/>
          </rPr>
          <t xml:space="preserve">parameters:
</t>
        </r>
      </text>
    </comment>
    <comment ref="A6" authorId="0" shapeId="0">
      <text>
        <r>
          <rPr>
            <b/>
            <sz val="9"/>
            <color indexed="81"/>
            <rFont val="Tahoma"/>
            <family val="2"/>
          </rPr>
          <t>## Glance Image name</t>
        </r>
      </text>
    </comment>
    <comment ref="D6" authorId="0" shapeId="0">
      <text>
        <r>
          <rPr>
            <b/>
            <sz val="9"/>
            <color indexed="81"/>
            <rFont val="Tahoma"/>
            <family val="2"/>
          </rPr>
          <t>## Glance Image name</t>
        </r>
      </text>
    </comment>
    <comment ref="A18" authorId="0" shapeId="0">
      <text>
        <r>
          <rPr>
            <b/>
            <sz val="9"/>
            <color indexed="81"/>
            <rFont val="Tahoma"/>
            <family val="2"/>
          </rPr>
          <t># VNF CONFD Username &amp; Password setting</t>
        </r>
      </text>
    </comment>
    <comment ref="D18" authorId="0" shapeId="0">
      <text>
        <r>
          <rPr>
            <b/>
            <sz val="9"/>
            <color indexed="81"/>
            <rFont val="Tahoma"/>
            <family val="2"/>
          </rPr>
          <t># VNF CONFD Username &amp; Password setting</t>
        </r>
      </text>
    </comment>
    <comment ref="A21" authorId="0" shapeId="0">
      <text>
        <r>
          <rPr>
            <b/>
            <sz val="9"/>
            <color indexed="81"/>
            <rFont val="Tahoma"/>
            <family val="2"/>
          </rPr>
          <t># DatabaseType  1: Cassandra   2: Couchbase Server</t>
        </r>
      </text>
    </comment>
    <comment ref="A23" authorId="0" shapeId="0">
      <text>
        <r>
          <rPr>
            <b/>
            <sz val="9"/>
            <color indexed="81"/>
            <rFont val="Tahoma"/>
            <family val="2"/>
          </rPr>
          <t>### Installation IP Type IPV4 or Ipv6</t>
        </r>
      </text>
    </comment>
    <comment ref="A25" authorId="0" shapeId="0">
      <text>
        <r>
          <rPr>
            <b/>
            <sz val="9"/>
            <color indexed="81"/>
            <rFont val="Tahoma"/>
            <family val="2"/>
          </rPr>
          <t>## MTU Settings</t>
        </r>
        <r>
          <rPr>
            <sz val="9"/>
            <color indexed="81"/>
            <rFont val="Tahoma"/>
            <family val="2"/>
          </rPr>
          <t xml:space="preserve">
</t>
        </r>
      </text>
    </comment>
    <comment ref="D26" authorId="0" shapeId="0">
      <text>
        <r>
          <rPr>
            <b/>
            <sz val="9"/>
            <color indexed="81"/>
            <rFont val="Tahoma"/>
            <family val="2"/>
          </rPr>
          <t># DatabaseType  1: Cassandra   2: Couchbase Server</t>
        </r>
      </text>
    </comment>
    <comment ref="A27" authorId="0" shapeId="0">
      <text>
        <r>
          <rPr>
            <b/>
            <sz val="9"/>
            <color indexed="81"/>
            <rFont val="Tahoma"/>
            <family val="2"/>
          </rPr>
          <t xml:space="preserve">### Public/Private Network UUID
</t>
        </r>
      </text>
    </comment>
    <comment ref="D28" authorId="0" shapeId="0">
      <text>
        <r>
          <rPr>
            <b/>
            <sz val="9"/>
            <color indexed="81"/>
            <rFont val="Tahoma"/>
            <family val="2"/>
          </rPr>
          <t>### Installation IP Type IPV4 or Ipv6</t>
        </r>
      </text>
    </comment>
    <comment ref="A29" authorId="0" shapeId="0">
      <text>
        <r>
          <rPr>
            <b/>
            <sz val="9"/>
            <color indexed="81"/>
            <rFont val="Tahoma"/>
            <family val="2"/>
          </rPr>
          <t>### IP Address for VNFM GUI and SSH along with VNFM</t>
        </r>
      </text>
    </comment>
    <comment ref="D30" authorId="0" shapeId="0">
      <text>
        <r>
          <rPr>
            <b/>
            <sz val="9"/>
            <color indexed="81"/>
            <rFont val="Tahoma"/>
            <family val="2"/>
          </rPr>
          <t>## MTU Settings</t>
        </r>
        <r>
          <rPr>
            <sz val="9"/>
            <color indexed="81"/>
            <rFont val="Tahoma"/>
            <family val="2"/>
          </rPr>
          <t xml:space="preserve">
</t>
        </r>
      </text>
    </comment>
    <comment ref="D32" authorId="0" shapeId="0">
      <text>
        <r>
          <rPr>
            <b/>
            <sz val="9"/>
            <color indexed="81"/>
            <rFont val="Tahoma"/>
            <family val="2"/>
          </rPr>
          <t xml:space="preserve">### Public/Private Network UUID
</t>
        </r>
      </text>
    </comment>
    <comment ref="A34" authorId="0" shapeId="0">
      <text>
        <r>
          <rPr>
            <b/>
            <sz val="9"/>
            <color indexed="81"/>
            <rFont val="Tahoma"/>
            <family val="2"/>
          </rPr>
          <t>### In Case of Database Type cassandra please set the IP as IPv4 Address if Installation IP Type IPv4,   In Case of Database Type cassandra please set the IP as IPv6 Address if Installation IP Type IPv6</t>
        </r>
      </text>
    </comment>
    <comment ref="A36" authorId="0" shapeId="0">
      <text>
        <r>
          <rPr>
            <b/>
            <sz val="9"/>
            <color indexed="81"/>
            <rFont val="Tahoma"/>
            <family val="2"/>
          </rPr>
          <t>## VNFM HA</t>
        </r>
      </text>
    </comment>
    <comment ref="D36" authorId="0" shapeId="0">
      <text>
        <r>
          <rPr>
            <b/>
            <sz val="9"/>
            <color indexed="81"/>
            <rFont val="Tahoma"/>
            <family val="2"/>
          </rPr>
          <t xml:space="preserve">### VOLUMES
</t>
        </r>
      </text>
    </comment>
    <comment ref="D40" authorId="0" shapeId="0">
      <text>
        <r>
          <rPr>
            <b/>
            <sz val="9"/>
            <color indexed="81"/>
            <rFont val="Tahoma"/>
            <family val="2"/>
          </rPr>
          <t>### IP Address for VNFM GUI and SSH along with VNFM</t>
        </r>
      </text>
    </comment>
    <comment ref="D43" authorId="0" shapeId="0">
      <text>
        <r>
          <rPr>
            <b/>
            <sz val="9"/>
            <color indexed="81"/>
            <rFont val="Tahoma"/>
            <family val="2"/>
          </rPr>
          <t>#IP Address for Ve_VNFM to connect to VNF</t>
        </r>
      </text>
    </comment>
    <comment ref="D46" authorId="0" shapeId="0">
      <text>
        <r>
          <rPr>
            <b/>
            <sz val="9"/>
            <color indexed="81"/>
            <rFont val="Tahoma"/>
            <family val="2"/>
          </rPr>
          <t>#IP Address for Ve_VNFM to connect to CMS</t>
        </r>
      </text>
    </comment>
    <comment ref="D49" authorId="0" shapeId="0">
      <text>
        <r>
          <rPr>
            <b/>
            <sz val="9"/>
            <color indexed="81"/>
            <rFont val="Tahoma"/>
            <family val="2"/>
          </rPr>
          <t>### In Case of Database Type cassandra please set the IP as IPv4 Address if Installation IP Type IPv4,   In Case of Database Type cassandra please set the IP as IPv6 Address if Installation IP Type IPv6</t>
        </r>
      </text>
    </comment>
    <comment ref="D51" authorId="1" shapeId="0">
      <text>
        <r>
          <rPr>
            <b/>
            <sz val="9"/>
            <color indexed="81"/>
            <rFont val="Tahoma"/>
            <family val="2"/>
          </rPr>
          <t>#CMS_IP</t>
        </r>
      </text>
    </comment>
    <comment ref="D53" authorId="0" shapeId="0">
      <text>
        <r>
          <rPr>
            <b/>
            <sz val="9"/>
            <color indexed="81"/>
            <rFont val="Tahoma"/>
            <family val="2"/>
          </rPr>
          <t>## VNFM HA</t>
        </r>
      </text>
    </comment>
    <comment ref="D66" authorId="0" shapeId="0">
      <text>
        <r>
          <rPr>
            <b/>
            <sz val="9"/>
            <color indexed="81"/>
            <rFont val="Tahoma"/>
            <family val="2"/>
          </rPr>
          <t>#NFVO related parameters</t>
        </r>
      </text>
    </comment>
  </commentList>
</comments>
</file>

<file path=xl/comments3.xml><?xml version="1.0" encoding="utf-8"?>
<comments xmlns="http://schemas.openxmlformats.org/spreadsheetml/2006/main">
  <authors>
    <author>Sanjeev Seera</author>
  </authors>
  <commentList>
    <comment ref="A1" authorId="0" shapeId="0">
      <text>
        <r>
          <rPr>
            <b/>
            <sz val="9"/>
            <color indexed="81"/>
            <rFont val="Tahoma"/>
            <family val="2"/>
          </rPr>
          <t>VOLUME</t>
        </r>
      </text>
    </comment>
    <comment ref="A4" authorId="0" shapeId="0">
      <text>
        <r>
          <rPr>
            <b/>
            <sz val="9"/>
            <color indexed="81"/>
            <rFont val="Tahoma"/>
            <family val="2"/>
          </rPr>
          <t>CLUSTER / ADMIN</t>
        </r>
      </text>
    </comment>
  </commentList>
</comments>
</file>

<file path=xl/comments4.xml><?xml version="1.0" encoding="utf-8"?>
<comments xmlns="http://schemas.openxmlformats.org/spreadsheetml/2006/main">
  <authors>
    <author>Sriram G N</author>
  </authors>
  <commentList>
    <comment ref="A23" authorId="0" shapeId="0">
      <text>
        <r>
          <rPr>
            <b/>
            <sz val="9"/>
            <color indexed="81"/>
            <rFont val="Tahoma"/>
            <charset val="1"/>
          </rPr>
          <t>END_OF_VARS</t>
        </r>
      </text>
    </comment>
    <comment ref="A32" authorId="0" shapeId="0">
      <text>
        <r>
          <rPr>
            <b/>
            <sz val="9"/>
            <color indexed="81"/>
            <rFont val="Tahoma"/>
            <family val="2"/>
          </rPr>
          <t>END_OF_LIST</t>
        </r>
      </text>
    </comment>
  </commentList>
</comments>
</file>

<file path=xl/comments5.xml><?xml version="1.0" encoding="utf-8"?>
<comments xmlns="http://schemas.openxmlformats.org/spreadsheetml/2006/main">
  <authors>
    <author>Sriram G N</author>
  </authors>
  <commentList>
    <comment ref="B2" authorId="0" shapeId="0">
      <text>
        <r>
          <rPr>
            <b/>
            <sz val="9"/>
            <color indexed="81"/>
            <rFont val="Tahoma"/>
            <family val="2"/>
          </rPr>
          <t>ACTIVE CMS IP</t>
        </r>
      </text>
    </comment>
    <comment ref="C2" authorId="0" shapeId="0">
      <text>
        <r>
          <rPr>
            <b/>
            <sz val="9"/>
            <color indexed="81"/>
            <rFont val="Tahoma"/>
            <family val="2"/>
          </rPr>
          <t>STANDBY CMS IP</t>
        </r>
      </text>
    </comment>
    <comment ref="B3" authorId="0" shapeId="0">
      <text>
        <r>
          <rPr>
            <b/>
            <sz val="9"/>
            <color indexed="81"/>
            <rFont val="Tahoma"/>
            <family val="2"/>
          </rPr>
          <t>CMS ACTIVE SYSTEM USER</t>
        </r>
      </text>
    </comment>
    <comment ref="C3" authorId="0" shapeId="0">
      <text>
        <r>
          <rPr>
            <b/>
            <sz val="9"/>
            <color indexed="81"/>
            <rFont val="Tahoma"/>
            <family val="2"/>
          </rPr>
          <t>CMS STANDBY SYSTEM USER</t>
        </r>
      </text>
    </comment>
    <comment ref="B4" authorId="0" shapeId="0">
      <text>
        <r>
          <rPr>
            <b/>
            <sz val="9"/>
            <color indexed="81"/>
            <rFont val="Tahoma"/>
            <family val="2"/>
          </rPr>
          <t>CMS ACTIVE SYSTEM PASSWORD</t>
        </r>
      </text>
    </comment>
    <comment ref="C4" authorId="0" shapeId="0">
      <text>
        <r>
          <rPr>
            <b/>
            <sz val="9"/>
            <color indexed="81"/>
            <rFont val="Tahoma"/>
            <family val="2"/>
          </rPr>
          <t>CMS STANDBY SYSTEM PASSWORD</t>
        </r>
      </text>
    </comment>
    <comment ref="B5" authorId="0" shapeId="0">
      <text>
        <r>
          <rPr>
            <b/>
            <sz val="9"/>
            <color indexed="81"/>
            <rFont val="Tahoma"/>
            <family val="2"/>
          </rPr>
          <t>VNFM_1 IP</t>
        </r>
      </text>
    </comment>
    <comment ref="C5" authorId="0" shapeId="0">
      <text>
        <r>
          <rPr>
            <b/>
            <sz val="9"/>
            <color indexed="81"/>
            <rFont val="Tahoma"/>
            <family val="2"/>
          </rPr>
          <t xml:space="preserve">VNFM_2 IP
</t>
        </r>
      </text>
    </comment>
    <comment ref="B6" authorId="0" shapeId="0">
      <text>
        <r>
          <rPr>
            <b/>
            <sz val="9"/>
            <color indexed="81"/>
            <rFont val="Tahoma"/>
            <family val="2"/>
          </rPr>
          <t>VNFM 1 SYSTEM USER</t>
        </r>
      </text>
    </comment>
    <comment ref="C6" authorId="0" shapeId="0">
      <text>
        <r>
          <rPr>
            <b/>
            <sz val="9"/>
            <color indexed="81"/>
            <rFont val="Tahoma"/>
            <family val="2"/>
          </rPr>
          <t>VNFM 2 SYSTEM USER</t>
        </r>
      </text>
    </comment>
    <comment ref="B7" authorId="0" shapeId="0">
      <text>
        <r>
          <rPr>
            <b/>
            <sz val="9"/>
            <color indexed="81"/>
            <rFont val="Tahoma"/>
            <family val="2"/>
          </rPr>
          <t>VNFM 1 SYSTEM PASSWORD</t>
        </r>
      </text>
    </comment>
    <comment ref="C7" authorId="0" shapeId="0">
      <text>
        <r>
          <rPr>
            <b/>
            <sz val="9"/>
            <color indexed="81"/>
            <rFont val="Tahoma"/>
            <family val="2"/>
          </rPr>
          <t>VNFM 2 SYSTEM PASSWORD</t>
        </r>
      </text>
    </comment>
  </commentList>
</comments>
</file>

<file path=xl/sharedStrings.xml><?xml version="1.0" encoding="utf-8"?>
<sst xmlns="http://schemas.openxmlformats.org/spreadsheetml/2006/main" count="2160" uniqueCount="710">
  <si>
    <t>BASIC_INFORMATION</t>
  </si>
  <si>
    <t>VNFM_INFORMATION</t>
  </si>
  <si>
    <t>CLOUD_INFORMATION</t>
  </si>
  <si>
    <t>MYSQL_USER</t>
  </si>
  <si>
    <t>root</t>
  </si>
  <si>
    <t>VNFM_HA</t>
  </si>
  <si>
    <t>Mode</t>
  </si>
  <si>
    <t>WITH_VIM_ACCESS</t>
  </si>
  <si>
    <t>MYSQL_PASSWD</t>
  </si>
  <si>
    <t>VNFM1_IP</t>
  </si>
  <si>
    <t>10.10.225.51</t>
  </si>
  <si>
    <t>Protocol_Type</t>
  </si>
  <si>
    <t>http</t>
  </si>
  <si>
    <t>MYSQL_DB</t>
  </si>
  <si>
    <t>cms</t>
  </si>
  <si>
    <t>VNFM1_Name</t>
  </si>
  <si>
    <t>IP_Type</t>
  </si>
  <si>
    <t>ipv4</t>
  </si>
  <si>
    <t>RETRIES</t>
  </si>
  <si>
    <t>VNFM1_Port</t>
  </si>
  <si>
    <t>POP_IP</t>
  </si>
  <si>
    <t>10.10.225.2</t>
  </si>
  <si>
    <t>DELAYS</t>
  </si>
  <si>
    <t>VNFM1_UserName</t>
  </si>
  <si>
    <t>admin</t>
  </si>
  <si>
    <t>Region</t>
  </si>
  <si>
    <t>RegionOne</t>
  </si>
  <si>
    <t>SNAPSHOT_SAVE_PATH</t>
  </si>
  <si>
    <t>/tmp/</t>
  </si>
  <si>
    <t>VNFM1_Password</t>
  </si>
  <si>
    <t>Cloud_Type</t>
  </si>
  <si>
    <t>Openstack</t>
  </si>
  <si>
    <t>CMS_URL</t>
  </si>
  <si>
    <t>VNFM2_IP</t>
  </si>
  <si>
    <t>Provider_Name</t>
  </si>
  <si>
    <t>VNFM2_Name</t>
  </si>
  <si>
    <t>Tenant_Name</t>
  </si>
  <si>
    <t>VNFM2_Port</t>
  </si>
  <si>
    <t>Tenant</t>
  </si>
  <si>
    <t>VNFM2_UserName</t>
  </si>
  <si>
    <t>Tenant_User_Name</t>
  </si>
  <si>
    <t>softbank</t>
  </si>
  <si>
    <t>VNFM2_Password</t>
  </si>
  <si>
    <t>Tenant_Password</t>
  </si>
  <si>
    <t>KeyStone_version</t>
  </si>
  <si>
    <t>KeyStone_Port</t>
  </si>
  <si>
    <t>Domain</t>
  </si>
  <si>
    <t>VNF_INFORMATION</t>
  </si>
  <si>
    <t>DEPLOY_NSD</t>
  </si>
  <si>
    <t>VNF_Port</t>
  </si>
  <si>
    <t>Protocol</t>
  </si>
  <si>
    <t>vnf_userName</t>
  </si>
  <si>
    <t>vnf_pwd</t>
  </si>
  <si>
    <t>DESCRIPTOR_PATH</t>
  </si>
  <si>
    <t>DESCRIPTOR_INFO</t>
  </si>
  <si>
    <t>IMAGE_INFO</t>
  </si>
  <si>
    <t>NAME</t>
  </si>
  <si>
    <t>PATH</t>
  </si>
  <si>
    <t>YANG_FILES</t>
  </si>
  <si>
    <t>VALUE</t>
  </si>
  <si>
    <t>CONFIG_FILES</t>
  </si>
  <si>
    <t>10.10.225.50</t>
  </si>
  <si>
    <t>10.10.74.100</t>
  </si>
  <si>
    <t>HighAvailability</t>
  </si>
  <si>
    <t>StandAlone</t>
  </si>
  <si>
    <t>vnf_name</t>
  </si>
  <si>
    <t>CMSNFV-R_7_1_12_0-20171116211850-j748</t>
  </si>
  <si>
    <t>vnf_id</t>
  </si>
  <si>
    <t>6fe5b576-07fd-4af5-b0bf-0438c11a5c122</t>
  </si>
  <si>
    <t>vf_module_id</t>
  </si>
  <si>
    <t>30e880f2-b3de-49cf-9ba5-01153f719d122</t>
  </si>
  <si>
    <t>CMS_names</t>
  </si>
  <si>
    <t>SoftBank_CMS</t>
  </si>
  <si>
    <t>CMS_flavor_name</t>
  </si>
  <si>
    <t>softbank.small</t>
  </si>
  <si>
    <t>CMS_image_name</t>
  </si>
  <si>
    <t>softbank_CMSNFV-P_7_1_13_0</t>
  </si>
  <si>
    <t>confd_mOne_keybasedConnection</t>
  </si>
  <si>
    <t>false</t>
  </si>
  <si>
    <t>Confd_mOne_KeybasedConnection</t>
  </si>
  <si>
    <t>confd_dsc_keybasedConnection</t>
  </si>
  <si>
    <t>Confd_dsc_KeybasedConnection</t>
  </si>
  <si>
    <t>confd_vnfm_keybasedConnection</t>
  </si>
  <si>
    <t>Confd_vnfm_KeybasedConnection</t>
  </si>
  <si>
    <t>Ha_Enabled</t>
  </si>
  <si>
    <t>true</t>
  </si>
  <si>
    <t>CMS_Ha_Enabled</t>
  </si>
  <si>
    <t>oam_net_id</t>
  </si>
  <si>
    <t>b804d59d-b824-4eef-82d5-b8d044016850</t>
  </si>
  <si>
    <t>CMS_Active_Standby_IPs</t>
  </si>
  <si>
    <t>LoadShare</t>
  </si>
  <si>
    <t>VNFM_IMAGE_NAME</t>
  </si>
  <si>
    <t>softbank_VNFM-R7150</t>
  </si>
  <si>
    <t>VNFM_FLAVOR</t>
  </si>
  <si>
    <t>softbank.small2</t>
  </si>
  <si>
    <t>VNFM_HOSTNAME</t>
  </si>
  <si>
    <t>softBankVNFM</t>
  </si>
  <si>
    <t>VNFM_VNF_Name</t>
  </si>
  <si>
    <t>softBank_VNFM</t>
  </si>
  <si>
    <t>VNFM_BUILD</t>
  </si>
  <si>
    <t>VNFM_Release_7.1.5.0_WAR_JAR</t>
  </si>
  <si>
    <t>CMS_REQUIRED</t>
  </si>
  <si>
    <t>ture</t>
  </si>
  <si>
    <t>VIM_HTTPS_REQUIRED</t>
  </si>
  <si>
    <t>VNF_HTTPS_REQUIRED</t>
  </si>
  <si>
    <t>TOSCA_REQUIRED</t>
  </si>
  <si>
    <t>VIM_PRESENT</t>
  </si>
  <si>
    <t>VNF_CONFD_USERNAME</t>
  </si>
  <si>
    <t>VNF_CONFD_PASSWORD</t>
  </si>
  <si>
    <t>VNFM_DB_TYPE</t>
  </si>
  <si>
    <t>IP_TYPE</t>
  </si>
  <si>
    <t>IPv4</t>
  </si>
  <si>
    <t>VNFM_MTU</t>
  </si>
  <si>
    <t>VNFM_NET_ID</t>
  </si>
  <si>
    <t>b804d59d_b824-4eef-82d5-b8d044016850</t>
  </si>
  <si>
    <t>Vi_VNFM_NET_ID</t>
  </si>
  <si>
    <t>Ve_VNFM_VNF_NET_ID</t>
  </si>
  <si>
    <t>VNFM_IPV4</t>
  </si>
  <si>
    <t>Ve_VNFM_CMS_NET_ID</t>
  </si>
  <si>
    <t>VNFM_BOOT_VOLUME_NAME</t>
  </si>
  <si>
    <t>VNFM_BOOT_VOLUME_SIZE</t>
  </si>
  <si>
    <t>VNFM_DB_IPv4</t>
  </si>
  <si>
    <t>10.10.190.12</t>
  </si>
  <si>
    <t>Vi_VNFM_IPv4</t>
  </si>
  <si>
    <t>Flush_DB</t>
  </si>
  <si>
    <t>No</t>
  </si>
  <si>
    <t>Peer_VNFM_IPv4</t>
  </si>
  <si>
    <t>10.10.198.12</t>
  </si>
  <si>
    <t>Ve_VNFM_VNF_IPv4</t>
  </si>
  <si>
    <t>Peer_DB_Cluster_IPv4</t>
  </si>
  <si>
    <t>VNFM_FQDN</t>
  </si>
  <si>
    <t>vnfm_st_bg1.mavenir.com</t>
  </si>
  <si>
    <t>Ve_VNFM_CMS_IPv4</t>
  </si>
  <si>
    <t>localhost</t>
  </si>
  <si>
    <t>Yes</t>
  </si>
  <si>
    <t>create</t>
  </si>
  <si>
    <t>DO</t>
  </si>
  <si>
    <t>flavor-name</t>
  </si>
  <si>
    <t>id</t>
  </si>
  <si>
    <t>ram</t>
  </si>
  <si>
    <t>disk</t>
  </si>
  <si>
    <t>swap</t>
  </si>
  <si>
    <t>vcpus</t>
  </si>
  <si>
    <t>rxtx-factor</t>
  </si>
  <si>
    <t>project</t>
  </si>
  <si>
    <t>project-domain</t>
  </si>
  <si>
    <t>property</t>
  </si>
  <si>
    <t>aggregate_instance_extra_specs:storage</t>
  </si>
  <si>
    <t>local_image</t>
  </si>
  <si>
    <t>hw:cpu_model</t>
  </si>
  <si>
    <t>SandyBridge</t>
  </si>
  <si>
    <t>hw:cpu_sockets</t>
  </si>
  <si>
    <t>hw:numa_nodes</t>
  </si>
  <si>
    <t>OAM_IP</t>
  </si>
  <si>
    <t>GATEWAY</t>
  </si>
  <si>
    <t>NETMASK</t>
  </si>
  <si>
    <t>DNS1</t>
  </si>
  <si>
    <t>DNS2</t>
  </si>
  <si>
    <t>DATA_INTERFACE</t>
  </si>
  <si>
    <t>OAM_DEVICE</t>
  </si>
  <si>
    <t>10.10.74.103</t>
  </si>
  <si>
    <t>10.10.74.1</t>
  </si>
  <si>
    <t>255.255.255.0</t>
  </si>
  <si>
    <t>8.8.8.8</t>
  </si>
  <si>
    <t>8.8.4.4</t>
  </si>
  <si>
    <t>enp59s0f0</t>
  </si>
  <si>
    <t>eno4</t>
  </si>
  <si>
    <t>IDRAC</t>
  </si>
  <si>
    <t>USER</t>
  </si>
  <si>
    <t>PASSWD</t>
  </si>
  <si>
    <t>mavenir</t>
  </si>
  <si>
    <t>BIOS_SETTINGS</t>
  </si>
  <si>
    <t>KEY</t>
  </si>
  <si>
    <t>IDRAC_USER</t>
  </si>
  <si>
    <t>BIOS.SysProfileSettings.ProcTurboMode</t>
  </si>
  <si>
    <t>Enabled</t>
  </si>
  <si>
    <t>IDRAC_DFLT_PW</t>
  </si>
  <si>
    <t>mavenir#123</t>
  </si>
  <si>
    <t>BIOS.ProcSettings.ProcVirtualization</t>
  </si>
  <si>
    <t>IDRAC_PW</t>
  </si>
  <si>
    <t>mavosppod</t>
  </si>
  <si>
    <t>BIOS.ProcSettings.QpiSpeed</t>
  </si>
  <si>
    <t>MaxDataRate</t>
  </si>
  <si>
    <t>ISO_PATH</t>
  </si>
  <si>
    <t>/home/mavenir/</t>
  </si>
  <si>
    <t>BIOS.IntegratedDevices.SriovGlobalEnable</t>
  </si>
  <si>
    <t>ISO</t>
  </si>
  <si>
    <t>Titanium-Cloud-host-installer-17.06-b6.iso</t>
  </si>
  <si>
    <t>BIOS.SysProfileSettings.ProcPwrPerf</t>
  </si>
  <si>
    <t>MaxPerf</t>
  </si>
  <si>
    <t>WR_SUDO_USER</t>
  </si>
  <si>
    <t>BIOS.BiosBootSettings.BootMode</t>
  </si>
  <si>
    <t>BIOS</t>
  </si>
  <si>
    <t>WRUSER</t>
  </si>
  <si>
    <t>wrsroot</t>
  </si>
  <si>
    <t>WRPASS</t>
  </si>
  <si>
    <t>Mavenir1.</t>
  </si>
  <si>
    <t>WR_DFLT_PASS</t>
  </si>
  <si>
    <t>LICENSE_SOURCE_PATH</t>
  </si>
  <si>
    <t>/root/license.lic</t>
  </si>
  <si>
    <t>HOME_DIR</t>
  </si>
  <si>
    <t>/home/wrsroot</t>
  </si>
  <si>
    <t>PATCH_SOURCE_PATH</t>
  </si>
  <si>
    <t>/root/Patches</t>
  </si>
  <si>
    <t>PROVIDER NETWORKS</t>
  </si>
  <si>
    <t>SEGMENTATION RANGE</t>
  </si>
  <si>
    <t>NETWORKS</t>
  </si>
  <si>
    <t>SUBNET</t>
  </si>
  <si>
    <t>PROVIDER_NAME</t>
  </si>
  <si>
    <t>P_External</t>
  </si>
  <si>
    <t>SGR_NAME</t>
  </si>
  <si>
    <t>SR_External</t>
  </si>
  <si>
    <t>NETWORK_NAME</t>
  </si>
  <si>
    <t xml:space="preserve">N_InternalOAM </t>
  </si>
  <si>
    <t>SUBNET_NAME</t>
  </si>
  <si>
    <t xml:space="preserve">SNET_InternalOAM </t>
  </si>
  <si>
    <t>DESCRIPTION</t>
  </si>
  <si>
    <t xml:space="preserve">External </t>
  </si>
  <si>
    <t>REL_PROVIDER_NAME</t>
  </si>
  <si>
    <t>REL_PROVIDER_NETWORK_TYPE</t>
  </si>
  <si>
    <t>vlan</t>
  </si>
  <si>
    <t>REL_NETWORK_NAME</t>
  </si>
  <si>
    <t>N_InternalOAM</t>
  </si>
  <si>
    <t>MTU</t>
  </si>
  <si>
    <t>External</t>
  </si>
  <si>
    <t>IP_VERSION</t>
  </si>
  <si>
    <t>TYPE</t>
  </si>
  <si>
    <t>RANGE</t>
  </si>
  <si>
    <t>510-513</t>
  </si>
  <si>
    <t>REL_PROVIDER_SEGMENT</t>
  </si>
  <si>
    <t>NO_DHCP_FLAG</t>
  </si>
  <si>
    <t>VLAN_TRANSPARENT_FLAG</t>
  </si>
  <si>
    <t>AVAILABILITY_ZONE_HINT</t>
  </si>
  <si>
    <t>nova</t>
  </si>
  <si>
    <t>SUBNET_RANGE</t>
  </si>
  <si>
    <t>192.168.36.0/24</t>
  </si>
  <si>
    <t>SHARE_FLAG</t>
  </si>
  <si>
    <t>UNMANGED_FLAG</t>
  </si>
  <si>
    <t>NONE</t>
  </si>
  <si>
    <t>[STORAGE]</t>
  </si>
  <si>
    <t>; Storage Configuration</t>
  </si>
  <si>
    <t>CINDER_BACKEND</t>
  </si>
  <si>
    <t>lvm</t>
  </si>
  <si>
    <t>DATABASE_STORAGE</t>
  </si>
  <si>
    <t>IMAGE_STORAGE</t>
  </si>
  <si>
    <t>BACKUP_STORAGE</t>
  </si>
  <si>
    <t>CINDER_DEVICE</t>
  </si>
  <si>
    <t>/dev/disk/by-path/pci-0000:18:00.0-scsi-0:2:1:0</t>
  </si>
  <si>
    <t>CINDER_STORAGE</t>
  </si>
  <si>
    <t>[LOGICAL_INTERFACE_1]</t>
  </si>
  <si>
    <t>LAG_INTERFACE</t>
  </si>
  <si>
    <t>N</t>
  </si>
  <si>
    <t>;LAG_MODE</t>
  </si>
  <si>
    <t>INTERFACE_MTU</t>
  </si>
  <si>
    <t>INTERFACE_PORTS</t>
  </si>
  <si>
    <t>[LOGICAL_INTERFACE_2]</t>
  </si>
  <si>
    <t>[MGMT_NETWORK]</t>
  </si>
  <si>
    <t>; Management Network Configuration</t>
  </si>
  <si>
    <t>CIDR</t>
  </si>
  <si>
    <t>192.168.204.0/24</t>
  </si>
  <si>
    <t>MULTICAST_CIDR</t>
  </si>
  <si>
    <t>239.1.1.0/28</t>
  </si>
  <si>
    <t>DYNAMIC_ALLOCATION</t>
  </si>
  <si>
    <t>Y</t>
  </si>
  <si>
    <t>IP_START_ADDRESS</t>
  </si>
  <si>
    <t>192.168.204.2</t>
  </si>
  <si>
    <t>IP_END_ADDRESS</t>
  </si>
  <si>
    <t>192.168.204.99</t>
  </si>
  <si>
    <t>LOGICAL_INTERFACE</t>
  </si>
  <si>
    <t>LOGICAL_INTERFACE_2</t>
  </si>
  <si>
    <t>;[INFRA_NETWORK]</t>
  </si>
  <si>
    <t>; Infrastructure Network Configuration</t>
  </si>
  <si>
    <t>[OAM_NETWORK]</t>
  </si>
  <si>
    <t>; External OAM Network Configuration</t>
  </si>
  <si>
    <t>10.10.74.0/24</t>
  </si>
  <si>
    <t>IP_FLOATING_ADDRESS</t>
  </si>
  <si>
    <t>10.10.74.102</t>
  </si>
  <si>
    <t>IP_UNIT_0_ADDRESS</t>
  </si>
  <si>
    <t>IP_UNIT_1_ADDRESS</t>
  </si>
  <si>
    <t>10.10.74.104</t>
  </si>
  <si>
    <t>LOGICAL_INTERFACE_1</t>
  </si>
  <si>
    <t>[DNS]</t>
  </si>
  <si>
    <t>; DNS Configuration</t>
  </si>
  <si>
    <t>; NAMESERVER_1</t>
  </si>
  <si>
    <t>128.224.144.130</t>
  </si>
  <si>
    <t>;NAMESERVER_2</t>
  </si>
  <si>
    <t>;NAMESERVER_3</t>
  </si>
  <si>
    <t>[NTP]</t>
  </si>
  <si>
    <t>; NTP Configuration</t>
  </si>
  <si>
    <t>;NTP_SERVER_1</t>
  </si>
  <si>
    <t>0.pool.ntp.org</t>
  </si>
  <si>
    <t>;NTP_SERVER_2</t>
  </si>
  <si>
    <t>1.pool.ntp.org</t>
  </si>
  <si>
    <t>;NTP_SERVER_3</t>
  </si>
  <si>
    <t>2.pool.ntp.org</t>
  </si>
  <si>
    <t>[LICENSING]</t>
  </si>
  <si>
    <t>LICENSE_FILE_NAME</t>
  </si>
  <si>
    <t>/home/wrsroot/license.lic</t>
  </si>
  <si>
    <t>[SECURITY]</t>
  </si>
  <si>
    <t>ENABLE_HTTPS</t>
  </si>
  <si>
    <t>; FIREWALL_RULES_FILE</t>
  </si>
  <si>
    <t>/home/wrsroot/iptables3.rules</t>
  </si>
  <si>
    <t>CONFIG_WRSROOT_PW_AGE</t>
  </si>
  <si>
    <t>[AUTHENTICATION]</t>
  </si>
  <si>
    <t>ADMIN_PASSWORD</t>
  </si>
  <si>
    <t>[VERSION]</t>
  </si>
  <si>
    <t>RELEASE</t>
  </si>
  <si>
    <t>host</t>
  </si>
  <si>
    <t>personality</t>
  </si>
  <si>
    <t>controller</t>
  </si>
  <si>
    <t>mgmt_mac</t>
  </si>
  <si>
    <t>08:00:27:19:b0:c5</t>
  </si>
  <si>
    <t>install_output</t>
  </si>
  <si>
    <t>text</t>
  </si>
  <si>
    <t>location</t>
  </si>
  <si>
    <t>System12/A4</t>
  </si>
  <si>
    <t>hostname</t>
  </si>
  <si>
    <t>compute-0</t>
  </si>
  <si>
    <t>compute</t>
  </si>
  <si>
    <t>08:00:27:dc:42:46</t>
  </si>
  <si>
    <t>mgmt_ip</t>
  </si>
  <si>
    <t>192.168.204.50</t>
  </si>
  <si>
    <t>console</t>
  </si>
  <si>
    <t>compute-1</t>
  </si>
  <si>
    <t>08:00:27:87:82:3E</t>
  </si>
  <si>
    <t>192.168.204.51</t>
  </si>
  <si>
    <t>rootfs_device</t>
  </si>
  <si>
    <t>sda</t>
  </si>
  <si>
    <t>compute-2</t>
  </si>
  <si>
    <t>08:00:27:b9:16:0d</t>
  </si>
  <si>
    <t>192.168.204.52</t>
  </si>
  <si>
    <t>power_on</t>
  </si>
  <si>
    <t>bm_mac</t>
  </si>
  <si>
    <t>08:00:27:b9:16:ac</t>
  </si>
  <si>
    <t>bm_ip</t>
  </si>
  <si>
    <t>192.168.204.60</t>
  </si>
  <si>
    <t>bm_type</t>
  </si>
  <si>
    <t>ilo4</t>
  </si>
  <si>
    <t>bm_username</t>
  </si>
  <si>
    <t>tsmith1</t>
  </si>
  <si>
    <t>bm_password</t>
  </si>
  <si>
    <t>mypass1</t>
  </si>
  <si>
    <t>storage</t>
  </si>
  <si>
    <t>08:00:27:dd:e3:3f</t>
  </si>
  <si>
    <t>08:00:27:8e:f1:b8</t>
  </si>
  <si>
    <t>CMS_IP_SYSPASS</t>
  </si>
  <si>
    <t>CMS_IP_SYSUSER</t>
  </si>
  <si>
    <t>CMS_IMAGE_CREATION_NAME</t>
  </si>
  <si>
    <t>VNFM_IMAGE_CREATION_NAME</t>
  </si>
  <si>
    <t>/home/</t>
  </si>
  <si>
    <t>CONTROLLER</t>
  </si>
  <si>
    <t>DESCRIPTOR_RETRIES</t>
  </si>
  <si>
    <t>DELAY</t>
  </si>
  <si>
    <t>DESCRIPTOR_ONBOARD_WAIT_TIME</t>
  </si>
  <si>
    <t>efd33216-1b7b-4ad8-ac95-5192e3a07e59</t>
  </si>
  <si>
    <t>name</t>
  </si>
  <si>
    <t>CMS_IMAGE_LINK</t>
  </si>
  <si>
    <t>VNFM_IMAGE_LINK</t>
  </si>
  <si>
    <t>idrac_user</t>
  </si>
  <si>
    <t>idrac_pass</t>
  </si>
  <si>
    <t>CMS_STANDALONE</t>
  </si>
  <si>
    <t>VNFM_STANDALONE</t>
  </si>
  <si>
    <t>KEYSTONE_SOURCE_PATH</t>
  </si>
  <si>
    <t>SB_small</t>
  </si>
  <si>
    <t>vnfm_st_bgl.mavenir.com</t>
  </si>
  <si>
    <t>CMS_ACTIVE_YAML_NAME</t>
  </si>
  <si>
    <t>CMS_IPv4_Active.yaml</t>
  </si>
  <si>
    <t>CMS_STANDBY_YAML_NAME</t>
  </si>
  <si>
    <t>CMS_IPv4_Standby.yaml</t>
  </si>
  <si>
    <t>VNFM_ACTIVE1_YAML_NAME</t>
  </si>
  <si>
    <t>VNFM_IPv4_Active1.yaml</t>
  </si>
  <si>
    <t>VNFM_ACTIVE2_YAML_NAME</t>
  </si>
  <si>
    <t>VNFM_IPv4_Active2.yaml</t>
  </si>
  <si>
    <t>SheetName</t>
  </si>
  <si>
    <t>Description</t>
  </si>
  <si>
    <t>OS Config</t>
  </si>
  <si>
    <t>Network Config</t>
  </si>
  <si>
    <t>Controller Config</t>
  </si>
  <si>
    <t>Host Config</t>
  </si>
  <si>
    <t>flavor</t>
  </si>
  <si>
    <t>IDRAC_Inventory</t>
  </si>
  <si>
    <t>HeatTemplate_Conf</t>
  </si>
  <si>
    <t>Instantiating CMS</t>
  </si>
  <si>
    <t>Instantiating VNFM</t>
  </si>
  <si>
    <t>CONTROLLER_Inventory</t>
  </si>
  <si>
    <t>VLD</t>
  </si>
  <si>
    <t>VNFD</t>
  </si>
  <si>
    <t>NSD</t>
  </si>
  <si>
    <t>LVND</t>
  </si>
  <si>
    <t>VNFM_config</t>
  </si>
  <si>
    <t>Contains description about the OSInstallation, Bios Installation and license and patch installation path</t>
  </si>
  <si>
    <t>Contains controller configuartions</t>
  </si>
  <si>
    <t>Conatins network and Sunnet information</t>
  </si>
  <si>
    <t>contains all the Host configurations</t>
  </si>
  <si>
    <t>Contains Vm size in terms of CPU , Memory size</t>
  </si>
  <si>
    <t xml:space="preserve">contains OAM_IP, GATEWAY, NETMASK, DNS1, DNS2 </t>
  </si>
  <si>
    <t>Contains CMS and VNFM HA information</t>
  </si>
  <si>
    <t>Descriptor information</t>
  </si>
  <si>
    <t>Contains configurations necessary to bring CMS up</t>
  </si>
  <si>
    <t>Contains configurations necessary to bring VNFM up</t>
  </si>
  <si>
    <t>Contains IP Addresses of controller which is used to instantiate CMS/VNFM</t>
  </si>
  <si>
    <t>Contains configuration parameters used for VNF instantiation</t>
  </si>
  <si>
    <t>HEAT TEMPLATE CONFIGURATION</t>
  </si>
  <si>
    <t>Sl. No.</t>
  </si>
  <si>
    <t>CMS_ACTIVE_STACK_NAME</t>
  </si>
  <si>
    <t>CMS_STANDBY_STACK_NAME</t>
  </si>
  <si>
    <t>VNFM_ACTIVE1_STACK_NAME</t>
  </si>
  <si>
    <t>VNFM_ACTIVE2_STACK_NAME</t>
  </si>
  <si>
    <t>v3</t>
  </si>
  <si>
    <t>IDRAC_IP</t>
  </si>
  <si>
    <t>10.10.74.101</t>
  </si>
  <si>
    <t>STORAGE</t>
  </si>
  <si>
    <t>PASS</t>
  </si>
  <si>
    <t>NUM_NR_PDISKS</t>
  </si>
  <si>
    <t>NUM_R0_VDISKS,  NUM_PDISKS_IN_EACH_VDISK</t>
  </si>
  <si>
    <t>4, 3</t>
  </si>
  <si>
    <t>2, 1</t>
  </si>
  <si>
    <t>NUM_R1_VDISKS,  NUM_PDISKS_IN_EACH_VDISK</t>
  </si>
  <si>
    <t>Raid Config</t>
  </si>
  <si>
    <t>Raid Configurations for controller, compute and storage</t>
  </si>
  <si>
    <t>NEW_NSD_VERSION</t>
  </si>
  <si>
    <t>NEW_VLD_VERSION</t>
  </si>
  <si>
    <t>NEW_LVND_VERSION</t>
  </si>
  <si>
    <t>ROLLING_UPGRADE</t>
  </si>
  <si>
    <t>VNFD_UPGRADE_PARAMS</t>
  </si>
  <si>
    <t>OLD_VERSION</t>
  </si>
  <si>
    <t>NEW_VERSION</t>
  </si>
  <si>
    <t>CMS_IP_ADDR</t>
  </si>
  <si>
    <t>CMS_ROLLING_UPGRADE_URL</t>
  </si>
  <si>
    <t>NSD_Name</t>
  </si>
  <si>
    <t>/etc/nova/openrc</t>
  </si>
  <si>
    <t>KEYSTONE_SOURCE_FILE_PATH</t>
  </si>
  <si>
    <t>{{playbook_dir}}/../../files/vnf_instantiation/Deployment_Folder/</t>
  </si>
  <si>
    <t>BOOT_OPTION_NUMBER</t>
  </si>
  <si>
    <t>VNC_PORT</t>
  </si>
  <si>
    <t>VNC_PASSWORD</t>
  </si>
  <si>
    <t>NSD_VERSION</t>
  </si>
  <si>
    <t>sample</t>
  </si>
  <si>
    <t>ephemeral</t>
  </si>
  <si>
    <t>sample1</t>
  </si>
  <si>
    <t>sample2</t>
  </si>
  <si>
    <t>private</t>
  </si>
  <si>
    <t>TENANT_NAME</t>
  </si>
  <si>
    <t>1, 2</t>
  </si>
  <si>
    <t>srvgroup_name</t>
  </si>
  <si>
    <t>NFVO_Present</t>
  </si>
  <si>
    <t>NFVO_IP</t>
  </si>
  <si>
    <t>NFVO_PORT</t>
  </si>
  <si>
    <t>10.69.15.11</t>
  </si>
  <si>
    <t>CMS_IP</t>
  </si>
  <si>
    <t>CMS_volume_name</t>
  </si>
  <si>
    <t>CMS_volume_size</t>
  </si>
  <si>
    <t>10.10.225.32</t>
  </si>
  <si>
    <t>oam_ip</t>
  </si>
  <si>
    <t>VNFM_SERVER_GROUP_NAME</t>
  </si>
  <si>
    <t>VNFM_SERVER_GROUP_POLICY</t>
  </si>
  <si>
    <t>CMS_SERVER_GROUP_NAME</t>
  </si>
  <si>
    <t>CMS_SERVER_GROUP_POLICY</t>
  </si>
  <si>
    <t>SB_VNFM_SG</t>
  </si>
  <si>
    <t>SB_CMS_SG</t>
  </si>
  <si>
    <t>affinity</t>
  </si>
  <si>
    <t>WILL_BE_UPDATED_DURING_RUNTIME</t>
  </si>
  <si>
    <t>anti-affinity</t>
  </si>
  <si>
    <t>CMS_WEB_USER</t>
  </si>
  <si>
    <t>CMS_WEB_PASSWORD</t>
  </si>
  <si>
    <t>VNFM_IP</t>
  </si>
  <si>
    <t>SDNS</t>
  </si>
  <si>
    <t>10.10.225.39</t>
  </si>
  <si>
    <t>10.10.225.40</t>
  </si>
  <si>
    <t>172.18.54.100</t>
  </si>
  <si>
    <t>10.10.225.57</t>
  </si>
  <si>
    <t>PING TEST</t>
  </si>
  <si>
    <t>CMS_SYS_USER</t>
  </si>
  <si>
    <t>CMS_SYS_PASS</t>
  </si>
  <si>
    <t>VNFM_SYS_USER</t>
  </si>
  <si>
    <t>VNFM_SYS_PASS</t>
  </si>
  <si>
    <t>10.10.225.58</t>
  </si>
  <si>
    <t>GTRE</t>
  </si>
  <si>
    <t>DIAMRE</t>
  </si>
  <si>
    <t>172.18.54.108</t>
  </si>
  <si>
    <t>172.18.54.116</t>
  </si>
  <si>
    <t>Ping_Test</t>
  </si>
  <si>
    <t>Contains CMS/VNFM &amp; VNF IP Addresses used for pinging and checking status</t>
  </si>
  <si>
    <t>CMS_mtu</t>
  </si>
  <si>
    <t>CMS_db_ips</t>
  </si>
  <si>
    <t>CMS_oam_ips</t>
  </si>
  <si>
    <t>CMS_vnf_ips</t>
  </si>
  <si>
    <t>CMS_vnfm_ips</t>
  </si>
  <si>
    <t>CMS_OAM_Active_Stadby_IPs</t>
  </si>
  <si>
    <t>USE_SERVER_GROUP</t>
  </si>
  <si>
    <t>VNFM1_USER</t>
  </si>
  <si>
    <t>VNFM1_PASSWORD</t>
  </si>
  <si>
    <t>VNFM2_USER</t>
  </si>
  <si>
    <t>VNFM2_PASSWORD</t>
  </si>
  <si>
    <t>CMS_DB_Active_Stadby_IPs</t>
  </si>
  <si>
    <t>LCMD</t>
  </si>
  <si>
    <t>NEW_IMAGE_NAME</t>
  </si>
  <si>
    <t>NEW_IMAGE_LINK</t>
  </si>
  <si>
    <t>Internal_OAM</t>
  </si>
  <si>
    <t>INTERNAL_OAM_NETWORK</t>
  </si>
  <si>
    <t>VNFM_UPGRADE_VERSION</t>
  </si>
  <si>
    <t>7.1.1.11</t>
  </si>
  <si>
    <t>VNFM_OLD_VERSION</t>
  </si>
  <si>
    <t>7.1.1.10</t>
  </si>
  <si>
    <t>controlDb</t>
  </si>
  <si>
    <t>vnfm_upgrade1</t>
  </si>
  <si>
    <t>vnfm_upgrade2</t>
  </si>
  <si>
    <t>VNFM-demo1</t>
  </si>
  <si>
    <t>CRDL_Host_Name</t>
  </si>
  <si>
    <t>CRDL_names</t>
  </si>
  <si>
    <t>CRDL_DB_1</t>
  </si>
  <si>
    <t>vm_type</t>
  </si>
  <si>
    <t>AM</t>
  </si>
  <si>
    <t>CRDL_flavor_name</t>
  </si>
  <si>
    <t>CRDL_image_name</t>
  </si>
  <si>
    <t>CRDL_volume_id</t>
  </si>
  <si>
    <t>CRDL_availability_zone</t>
  </si>
  <si>
    <t>CRDL_oam_ips</t>
  </si>
  <si>
    <t>db_traffic_net_id</t>
  </si>
  <si>
    <t>CLUSTER / ADMIN</t>
  </si>
  <si>
    <t>VOLUME</t>
  </si>
  <si>
    <t>CRDL_volume_name_0</t>
  </si>
  <si>
    <t>CRDL_volume_size_0</t>
  </si>
  <si>
    <t>FLAVOR_DESCRIPTION</t>
  </si>
  <si>
    <t>FLAVOR_NAME</t>
  </si>
  <si>
    <t>FLAVOR_VOLUME_SIZE</t>
  </si>
  <si>
    <t>CMS_SYS_PASSWORD</t>
  </si>
  <si>
    <t>CRDL_ADMIN_IMAGE_LINK</t>
  </si>
  <si>
    <t>CRDL_CLUSTER_IMAGE_LINK</t>
  </si>
  <si>
    <t>CRDL_SERVER_GROUP_NAME</t>
  </si>
  <si>
    <t>CRDL_SERVER_GROUP_POLICY</t>
  </si>
  <si>
    <t>CRDL_SG</t>
  </si>
  <si>
    <t>VNFM-demo2</t>
  </si>
  <si>
    <t>VNFM-demo3</t>
  </si>
  <si>
    <t>vnfm_upgrade3</t>
  </si>
  <si>
    <t>CRDL_DB_2</t>
  </si>
  <si>
    <t>CRDL_DB_3</t>
  </si>
  <si>
    <t>CRDL_ADMIN_IMAGE_CREATION_NAME</t>
  </si>
  <si>
    <t>CRDL_CLUSTER_IMAGE_CREATION_NAME</t>
  </si>
  <si>
    <t>CRDL_VOLUME_YAML_NAME</t>
  </si>
  <si>
    <t>CRDL_ADMIN_YAML_NAME</t>
  </si>
  <si>
    <t>CRDL_CLUSTER_YAML_NAME</t>
  </si>
  <si>
    <t>v4913</t>
  </si>
  <si>
    <t>CRDL_db_traffic_ips</t>
  </si>
  <si>
    <t>CRDL_CFG_PRODUCT</t>
  </si>
  <si>
    <t>VMAS WSG VLB_VMAS VLB_WSG</t>
  </si>
  <si>
    <t>CRDL_CFG_RAM_WEIGHT</t>
  </si>
  <si>
    <t>30 30 10 10</t>
  </si>
  <si>
    <t>Administrator</t>
  </si>
  <si>
    <t>CRDL_CFG_USER_NAME</t>
  </si>
  <si>
    <t>CRDL_CFG_USER_PASSWD</t>
  </si>
  <si>
    <t>CRDL_SYS_USER_NAME</t>
  </si>
  <si>
    <t>CRDL_SYS_PASSWORD</t>
  </si>
  <si>
    <t>e68f1ae6-996c-4f7a-9462-9ba34baf2821</t>
  </si>
  <si>
    <t>ef67d3e8-5c8b-4a60-9739-781c057a8335</t>
  </si>
  <si>
    <t>e1406aa2-1c61-4345-a449-5d8559e1f333</t>
  </si>
  <si>
    <t>192.168.30.10</t>
  </si>
  <si>
    <t>192.168.30.11</t>
  </si>
  <si>
    <t>172.18.54.50</t>
  </si>
  <si>
    <t>172.18.54.51</t>
  </si>
  <si>
    <t>aaa9853f-241d-4d9e-a780-e2cf3901c9c8</t>
  </si>
  <si>
    <t>172.18.54.52</t>
  </si>
  <si>
    <t>172.18.54.53</t>
  </si>
  <si>
    <t>192.168.30.12</t>
  </si>
  <si>
    <t>192.168.30.13</t>
  </si>
  <si>
    <t>IMAGE_PROPERTIES</t>
  </si>
  <si>
    <t>PROPERTIES</t>
  </si>
  <si>
    <t>http://10.10.225.225/IMC/CloudRange-rhel_7_2_rm-VLB-FE-R_1_0_10_1-v1-20180504181849-j1625.qcow2</t>
  </si>
  <si>
    <t>FE_CSCF_VNFD_R4913</t>
  </si>
  <si>
    <t>FE_CSCF_VNFD</t>
  </si>
  <si>
    <t>FE_CSCF_VNFD_LATEST_VLB</t>
  </si>
  <si>
    <t>Mavenir_LCMD_CSCF_FE_NEW</t>
  </si>
  <si>
    <t>FE_CSCF_VNFD_R4914</t>
  </si>
  <si>
    <t>NEW_LCMD_NAME</t>
  </si>
  <si>
    <t>OLD_VLD_VERSION</t>
  </si>
  <si>
    <t>v4914</t>
  </si>
  <si>
    <t>NEW_CONFIG_MODEL</t>
  </si>
  <si>
    <t>NEW_CONFIG_DATA</t>
  </si>
  <si>
    <t>IMC_cdb_10_0_24_0_backup.xml</t>
  </si>
  <si>
    <t>rhel_7_2_x86_64-IMS-R_10_0_23_1-v1-yangFiles.zip</t>
  </si>
  <si>
    <t>crdl_admin_1</t>
  </si>
  <si>
    <t>CRDL_SB_ADMIN</t>
  </si>
  <si>
    <t>CRDL_SB_CLUSTER</t>
  </si>
  <si>
    <t>http://10.10.225.225/CRDL/Admin.txz</t>
  </si>
  <si>
    <t>http://10.10.225.225/CRDL/Cluster.txz</t>
  </si>
  <si>
    <t>10.10.225.235</t>
  </si>
  <si>
    <t>10.10.225.236</t>
  </si>
  <si>
    <t>10.10.225.237</t>
  </si>
  <si>
    <t>10.10.225.238</t>
  </si>
  <si>
    <t>crdl_cluster_1</t>
  </si>
  <si>
    <t>crdl_cluster_2</t>
  </si>
  <si>
    <t>CRDL_DB_4</t>
  </si>
  <si>
    <t>base_CRDL_vol.yaml</t>
  </si>
  <si>
    <t>base_CRDL_adm.yaml</t>
  </si>
  <si>
    <t>base_CRDL_clus.yaml</t>
  </si>
  <si>
    <t>192.176.20.22</t>
  </si>
  <si>
    <t>192.176.20.23</t>
  </si>
  <si>
    <t>http://10.1.1.14/mavenir/VNF/CMS/CMSNFV-R_7_1_15_0/CloudRange-CMSNFV-rhel_7_2_x86_64-CMSNFV-R_7_1_15_0-v1-20180518220708-j1767.qcow2.txz</t>
  </si>
  <si>
    <t>cms_sba1</t>
  </si>
  <si>
    <t>cms_sba2</t>
  </si>
  <si>
    <t>CMS_IMAGE_SBA</t>
  </si>
  <si>
    <t>VNFM_IMAGE_SBA</t>
  </si>
  <si>
    <t>http://10.1.1.14/mavenir/VNF/VNFM/VNFM_R71536_WAR_JAR/CloudRange-VNFM-R71536_WAR_JAR-20180627135229-j2052.qcow2.txz</t>
  </si>
  <si>
    <t>db_net_id</t>
  </si>
  <si>
    <t>vnf_net_id</t>
  </si>
  <si>
    <t>vnfm_net_id</t>
  </si>
  <si>
    <t>Restart_RetryCount</t>
  </si>
  <si>
    <t>Rebuild_RetryCount</t>
  </si>
  <si>
    <t>Recreate_RetryCount</t>
  </si>
  <si>
    <t>Notify_Alarm</t>
  </si>
  <si>
    <t>MIB_Enabled</t>
  </si>
  <si>
    <t>availability_zone</t>
  </si>
  <si>
    <t>LOCAL_AUTHENTICATION</t>
  </si>
  <si>
    <t>ROOT_LOGIN_DISABLED</t>
  </si>
  <si>
    <t>confd_user</t>
  </si>
  <si>
    <t>confd_user_passwd</t>
  </si>
  <si>
    <t>localAuthentication</t>
  </si>
  <si>
    <t>cms_vol_1</t>
  </si>
  <si>
    <t>cms_vol_2</t>
  </si>
  <si>
    <t>CONTROLLER_LOGIN_USER</t>
  </si>
  <si>
    <t>CONTROLLER_LOGIN_PASSWD</t>
  </si>
  <si>
    <t>CONTROLLER_KEYSTONE_PATH</t>
  </si>
  <si>
    <t>CONTROLLER_IP</t>
  </si>
  <si>
    <t>b3f45571-4094-4728-b30d-b131b11f7399</t>
  </si>
  <si>
    <t>10.1.36.177</t>
  </si>
  <si>
    <t>192.168.30.179</t>
  </si>
  <si>
    <t>10.1.36.178</t>
  </si>
  <si>
    <t>10.1.36.179</t>
  </si>
  <si>
    <t>10.1.36.180</t>
  </si>
  <si>
    <t>192.168.30.177</t>
  </si>
  <si>
    <t>192.168.30.178</t>
  </si>
  <si>
    <t>192.168.30.180</t>
  </si>
  <si>
    <t>crdl_cluster_3</t>
  </si>
  <si>
    <t>m1.large</t>
  </si>
  <si>
    <t>ADMIN</t>
  </si>
  <si>
    <t>CLUSTER</t>
  </si>
  <si>
    <t>VOL_CRDL_ADMIN_1</t>
  </si>
  <si>
    <t>VOL_CRDL_CLUSTER_1</t>
  </si>
  <si>
    <t>VOL_CRDL_CLUSTER_2</t>
  </si>
  <si>
    <t>VOL_CRDL_CLUSTER_3</t>
  </si>
  <si>
    <t>desc</t>
  </si>
  <si>
    <t>name2</t>
  </si>
  <si>
    <t>desc2</t>
  </si>
  <si>
    <t>CASSANDRA_BACKUP</t>
  </si>
  <si>
    <t>YES</t>
  </si>
  <si>
    <t>INSTALL_SSL_VNFM</t>
  </si>
  <si>
    <t>AUTOMATION - v1.0.9</t>
  </si>
  <si>
    <t>VNFM-1</t>
  </si>
  <si>
    <t>VNFM-2</t>
  </si>
  <si>
    <t>v7178</t>
  </si>
  <si>
    <t>LVND_FE_RE</t>
  </si>
  <si>
    <t>Ph03nix5parr0w!</t>
  </si>
  <si>
    <t>Wind@234</t>
  </si>
  <si>
    <t>/home/wrsroot/telefonica_e2e_rc</t>
  </si>
  <si>
    <t>CMS-Active</t>
  </si>
  <si>
    <t>CMS-Standby</t>
  </si>
  <si>
    <t>10.1.36.186</t>
  </si>
  <si>
    <t>10.10.233.69</t>
  </si>
  <si>
    <t>10.10.233.66</t>
  </si>
  <si>
    <t>/root/keystonerc_rakuten</t>
  </si>
  <si>
    <t>rakuten</t>
  </si>
  <si>
    <t>Rakuten_Tenant</t>
  </si>
  <si>
    <t>Rakuten_Provider</t>
  </si>
  <si>
    <t>172.16.3.5</t>
  </si>
  <si>
    <t>UAG_NSD_v5</t>
  </si>
  <si>
    <t>UAG_NSD1</t>
  </si>
  <si>
    <t>UAG</t>
  </si>
  <si>
    <t>UAG_MP</t>
  </si>
  <si>
    <t>UAG_TC</t>
  </si>
  <si>
    <t>UAG_UPC</t>
  </si>
  <si>
    <t>UAG_DIAM_RE</t>
  </si>
  <si>
    <t>UAG_VLB_FE1</t>
  </si>
  <si>
    <t>UAG_GT_RE</t>
  </si>
  <si>
    <t>UAG_SC</t>
  </si>
  <si>
    <t>UAG_SIP_RE</t>
  </si>
  <si>
    <t>UAG_VLB_FE2</t>
  </si>
  <si>
    <t>http://10.10.233.74:8001/WRG_Upgrade_Apr_30/CloudRange-rhel_7_2_vnf_diamre-REUDIAM-R_1_0_6_0-v1-20190326122701-s238.qcow2</t>
  </si>
  <si>
    <t>http://10.10.233.74:8001/WRG_Upgrade_Apr_30/CloudRange-rhel_7_2_rm-2.9.0.1-VLBFE-R_1_0_19_0-v4-20190401163210-s312.qcow2</t>
  </si>
  <si>
    <t>http://10.10.233.74:8001/WRG_Upgrade_Apr_30/CloudRange-rhel_7_2_vnf_gtre-REUGT-R_1_0_6_0-v1-20190326125732-s239.qcow2</t>
  </si>
  <si>
    <t>http://10.10.233.74:8001/WRG_Upgrade_Apr_30/CloudRange-rhel_7_2_vnf-2.8.0.1_mp-MP-R_1_1_5_2-v2-20190404142023-j3992.qcow2</t>
  </si>
  <si>
    <t>http://10.10.233.74:8001/WRG_Upgrade_Apr_30/CloudRange-rhel_7_2_vnf_webrtcc-WRG-SC-R_6_0_3_3-v1-20190426100053-s506.qcow2</t>
  </si>
  <si>
    <t>http://10.10.233.74:8001/WRG_Upgrade_Apr_30/CloudRange-rhel_7_2_vnf-RESIP-R_1_0_6_5-Patch-v2-20190408051923-s355.qcow2</t>
  </si>
  <si>
    <t>http://10.10.233.74:8001/WRG_Upgrade_Apr_30/CloudRange-rhel_7_2_vnf-2.8.0.1_tc-TC-R_1_1_5_0-v1-20190326161109-s241.qcow2</t>
  </si>
  <si>
    <t>http://10.10.233.74:8001/WRG_Upgrade_Apr_30/CloudRange-rhel_7_2_vnf_upc-UPC-R_1_1_4_2-v1-20190404030552-s329.qcow2</t>
  </si>
  <si>
    <t>WRG_REUDIAM-R_1_0_6_0</t>
  </si>
  <si>
    <t>WRG_VLBFE-R_1_0_19_0</t>
  </si>
  <si>
    <t>WRG_REUGT-R_1_0_6_0</t>
  </si>
  <si>
    <t>WRG_MP-R_1_1_5_2</t>
  </si>
  <si>
    <t>WRG_WRG-SC-R_6_0_3_3</t>
  </si>
  <si>
    <t>WRG_RESIP-R_1_0_6_5</t>
  </si>
  <si>
    <t>WRG_TC-R_1_1_5_0</t>
  </si>
  <si>
    <t>WRG_UPC-R_1_1_4_2</t>
  </si>
  <si>
    <t>WRG_VLBFE-R_1_0_19_0_B</t>
  </si>
  <si>
    <t>rhel_7_2_vnf_diamre-REUDIAM-R_1_0_6_0-v1-yangFiles.zip</t>
  </si>
  <si>
    <t>rhel_7_2_rm-2.9.0.1-VLBFE-R_1_0_19_0-v4-yangFiles.zip</t>
  </si>
  <si>
    <t>rhel_7_2_vnf_gtre-REUGT-R_1_0_6_0-v1-yangFiles.zip</t>
  </si>
  <si>
    <t>rhel_7_2_vnf-2.8.0.1_mp-MP-R_1_1_5_2-v2-yangFiles.zip</t>
  </si>
  <si>
    <t>rhel_7_2_vnf_webrtcc-WRG-SC-R_6_0_3_3-v1-yangFiles.zip</t>
  </si>
  <si>
    <t>rhel_7_2_vnf_sipre-RESIP-R_1_0_6_5-v1-yangFiles.zip</t>
  </si>
  <si>
    <t>rhel_7_2_vnf-2.8.0.1_tc-TC-R_1_1_5_0-v1-yangFiles.zip</t>
  </si>
  <si>
    <t>rhel_7_2_vnf_upc-UPC-R_1_1_4_2-v1-yangFiles.zip</t>
  </si>
  <si>
    <t>DIAMRE_config-UAG_DIAM_RE_v1.xml</t>
  </si>
  <si>
    <t>FE_Config-UAG_VLB_FE1_v1.xml</t>
  </si>
  <si>
    <t>GTRE_config-UAG_GT_RE_v6.xml</t>
  </si>
  <si>
    <t>UAG_MP_Config_mod_v3.xml</t>
  </si>
  <si>
    <t>sc_config_V33.xml</t>
  </si>
  <si>
    <t>SIPRE_config-UAG_SIP_RE_v1.xml</t>
  </si>
  <si>
    <t>TC_config-UAG_TC_v1.xml</t>
  </si>
  <si>
    <t>uag_upc_config_mod_v5.xml</t>
  </si>
  <si>
    <t>FE_B_Config-UAG_VLB_FE2_v1.xml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</si>
</sst>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5" formatCode="&quot;$&quot;#,##0_);\(&quot;$&quot;#,##0\)"/>
    <numFmt numFmtId="6" formatCode="&quot;$&quot;#,##0_);[Red]\(&quot;$&quot;#,##0\)"/>
  </numFmts>
  <fonts count="17" x14ac:knownFonts="1">
    <font>
      <sz val="11"/>
      <color theme="1"/>
      <name val="Calibri"/>
      <family val="2"/>
      <scheme val="minor"/>
    </font>
    <font>
      <b/>
      <sz val="11"/>
      <color theme="0"/>
      <name val="Calibri"/>
      <family val="2"/>
      <scheme val="minor"/>
    </font>
    <font>
      <u/>
      <sz val="11"/>
      <color theme="10"/>
      <name val="Calibri"/>
      <family val="2"/>
      <scheme val="minor"/>
    </font>
    <font>
      <i/>
      <sz val="14"/>
      <name val="Calibri"/>
      <family val="2"/>
      <scheme val="minor"/>
    </font>
    <font>
      <sz val="14"/>
      <color theme="1"/>
      <name val="Calibri"/>
      <family val="2"/>
      <scheme val="minor"/>
    </font>
    <font>
      <b/>
      <sz val="11"/>
      <color theme="1"/>
      <name val="Calibri"/>
      <family val="2"/>
      <scheme val="minor"/>
    </font>
    <font>
      <b/>
      <sz val="9"/>
      <color indexed="81"/>
      <name val="Tahoma"/>
      <family val="2"/>
    </font>
    <font>
      <sz val="9"/>
      <color indexed="81"/>
      <name val="Tahoma"/>
      <family val="2"/>
    </font>
    <font>
      <sz val="10"/>
      <color theme="1"/>
      <name val="Arial Unicode MS"/>
    </font>
    <font>
      <sz val="11"/>
      <color theme="1"/>
      <name val="Calibri"/>
      <family val="2"/>
      <scheme val="minor"/>
    </font>
    <font>
      <sz val="11"/>
      <color theme="0"/>
      <name val="Calibri"/>
      <family val="2"/>
      <scheme val="minor"/>
    </font>
    <font>
      <sz val="17"/>
      <color theme="0"/>
      <name val="Calibri"/>
      <family val="2"/>
      <scheme val="minor"/>
    </font>
    <font>
      <sz val="11"/>
      <color rgb="FF0B744D"/>
      <name val="Calibri"/>
      <family val="2"/>
      <scheme val="minor"/>
    </font>
    <font>
      <sz val="72"/>
      <color theme="0"/>
      <name val="Calibri Light"/>
      <family val="2"/>
      <scheme val="major"/>
    </font>
    <font>
      <sz val="11"/>
      <name val="Calibri"/>
      <family val="2"/>
      <scheme val="minor"/>
    </font>
    <font>
      <b/>
      <sz val="12"/>
      <color theme="0"/>
      <name val="Calibri"/>
      <family val="2"/>
      <scheme val="minor"/>
    </font>
    <font>
      <b/>
      <sz val="9"/>
      <color indexed="81"/>
      <name val="Tahoma"/>
      <charset val="1"/>
    </font>
  </fonts>
  <fills count="14">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217346"/>
        <bgColor indexed="64"/>
      </patternFill>
    </fill>
    <fill>
      <patternFill patternType="solid">
        <fgColor rgb="FFFFFF99"/>
        <bgColor indexed="64"/>
      </patternFill>
    </fill>
    <fill>
      <patternFill patternType="solid">
        <fgColor rgb="FF339966"/>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rgb="FFFFFFFF"/>
        <bgColor indexed="64"/>
      </patternFill>
    </fill>
  </fills>
  <borders count="41">
    <border>
      <left/>
      <right/>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top/>
      <bottom/>
      <diagonal/>
    </border>
    <border>
      <left/>
      <right style="medium">
        <color indexed="64"/>
      </right>
      <top style="medium">
        <color indexed="64"/>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diagonal/>
    </border>
    <border>
      <left style="thin">
        <color rgb="FFB2B2B2"/>
      </left>
      <right style="thin">
        <color rgb="FFB2B2B2"/>
      </right>
      <top style="thin">
        <color rgb="FFB2B2B2"/>
      </top>
      <bottom style="thin">
        <color rgb="FFB2B2B2"/>
      </bottom>
      <diagonal/>
    </border>
    <border>
      <left style="thick">
        <color rgb="FFF4B183"/>
      </left>
      <right style="thick">
        <color rgb="FFF4B183"/>
      </right>
      <top style="thick">
        <color rgb="FFF4B183"/>
      </top>
      <bottom style="thick">
        <color rgb="FFF4B183"/>
      </bottom>
      <diagonal/>
    </border>
    <border>
      <left/>
      <right/>
      <top/>
      <bottom style="thin">
        <color indexed="64"/>
      </bottom>
      <diagonal/>
    </border>
    <border>
      <left/>
      <right style="thin">
        <color rgb="FF339966"/>
      </right>
      <top/>
      <bottom/>
      <diagonal/>
    </border>
    <border>
      <left style="thin">
        <color rgb="FF339966"/>
      </left>
      <right/>
      <top/>
      <bottom style="thin">
        <color rgb="FF339966"/>
      </bottom>
      <diagonal/>
    </border>
    <border>
      <left style="thin">
        <color rgb="FF339966"/>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medium">
        <color theme="0"/>
      </left>
      <right style="thin">
        <color theme="0"/>
      </right>
      <top style="medium">
        <color theme="0"/>
      </top>
      <bottom style="thin">
        <color theme="0"/>
      </bottom>
      <diagonal/>
    </border>
    <border>
      <left style="thin">
        <color theme="0"/>
      </left>
      <right style="thin">
        <color theme="0"/>
      </right>
      <top style="medium">
        <color theme="0"/>
      </top>
      <bottom style="thin">
        <color theme="0"/>
      </bottom>
      <diagonal/>
    </border>
    <border>
      <left style="thin">
        <color theme="0"/>
      </left>
      <right style="medium">
        <color theme="0"/>
      </right>
      <top style="medium">
        <color theme="0"/>
      </top>
      <bottom style="thin">
        <color theme="0"/>
      </bottom>
      <diagonal/>
    </border>
    <border>
      <left style="medium">
        <color theme="0"/>
      </left>
      <right style="thin">
        <color theme="0"/>
      </right>
      <top style="thin">
        <color theme="0"/>
      </top>
      <bottom style="thin">
        <color theme="0"/>
      </bottom>
      <diagonal/>
    </border>
    <border>
      <left style="thin">
        <color theme="0"/>
      </left>
      <right style="medium">
        <color theme="0"/>
      </right>
      <top style="thin">
        <color theme="0"/>
      </top>
      <bottom style="thin">
        <color theme="0"/>
      </bottom>
      <diagonal/>
    </border>
    <border>
      <left style="medium">
        <color theme="0"/>
      </left>
      <right style="thin">
        <color theme="0"/>
      </right>
      <top style="thin">
        <color theme="0"/>
      </top>
      <bottom style="medium">
        <color theme="0"/>
      </bottom>
      <diagonal/>
    </border>
    <border>
      <left style="thin">
        <color theme="0"/>
      </left>
      <right style="thin">
        <color theme="0"/>
      </right>
      <top style="thin">
        <color theme="0"/>
      </top>
      <bottom style="medium">
        <color theme="0"/>
      </bottom>
      <diagonal/>
    </border>
    <border>
      <left style="thin">
        <color theme="0"/>
      </left>
      <right style="medium">
        <color theme="0"/>
      </right>
      <top style="thin">
        <color theme="0"/>
      </top>
      <bottom style="medium">
        <color theme="0"/>
      </bottom>
      <diagonal/>
    </border>
    <border>
      <left style="thin">
        <color theme="0"/>
      </left>
      <right/>
      <top style="thin">
        <color theme="0"/>
      </top>
      <bottom style="thin">
        <color theme="0"/>
      </bottom>
      <diagonal/>
    </border>
    <border>
      <left style="thin">
        <color indexed="64"/>
      </left>
      <right style="medium">
        <color indexed="64"/>
      </right>
      <top style="medium">
        <color indexed="64"/>
      </top>
      <bottom/>
      <diagonal/>
    </border>
    <border>
      <left style="thin">
        <color theme="0"/>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style="thin">
        <color theme="0"/>
      </left>
      <right/>
      <top/>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rgb="FFFFFFFF"/>
      </left>
      <right style="thin">
        <color rgb="FFFFFFFF"/>
      </right>
      <top style="thin">
        <color rgb="FFFFFFFF"/>
      </top>
      <bottom style="thin">
        <color rgb="FFFFFFFF"/>
      </bottom>
      <diagonal/>
    </border>
  </borders>
  <cellStyleXfs count="19">
    <xf numFmtId="0" fontId="0" fillId="0" borderId="0"/>
    <xf numFmtId="0" fontId="2" fillId="0" borderId="0" applyNumberFormat="0" applyFill="0" applyBorder="0" applyAlignment="0" applyProtection="0"/>
    <xf numFmtId="0" fontId="11" fillId="5" borderId="0" applyNumberFormat="0" applyProtection="0">
      <alignment horizontal="left" wrapText="1" indent="4"/>
    </xf>
    <xf numFmtId="0" fontId="12" fillId="5" borderId="0" applyNumberFormat="0" applyProtection="0">
      <alignment horizontal="left" wrapText="1" indent="4"/>
    </xf>
    <xf numFmtId="0" fontId="13" fillId="5" borderId="0" applyNumberFormat="0" applyBorder="0" applyProtection="0">
      <alignment horizontal="left" indent="1"/>
    </xf>
    <xf numFmtId="0" fontId="12" fillId="0" borderId="0" applyFill="0" applyBorder="0">
      <alignment wrapText="1"/>
    </xf>
    <xf numFmtId="0" fontId="10" fillId="0" borderId="0"/>
    <xf numFmtId="0" fontId="9" fillId="3" borderId="17"/>
    <xf numFmtId="0" fontId="9" fillId="6" borderId="16"/>
    <xf numFmtId="0" fontId="9" fillId="3" borderId="0"/>
    <xf numFmtId="0" fontId="10" fillId="7" borderId="0" applyNumberFormat="0" applyBorder="0" applyProtection="0"/>
    <xf numFmtId="0" fontId="5" fillId="0" borderId="0" applyNumberFormat="0" applyFill="0" applyBorder="0" applyAlignment="0" applyProtection="0"/>
    <xf numFmtId="0" fontId="9" fillId="0" borderId="18" applyNumberFormat="0" applyFont="0" applyFill="0" applyAlignment="0"/>
    <xf numFmtId="0" fontId="9" fillId="0" borderId="19" applyNumberFormat="0" applyFont="0" applyFill="0" applyAlignment="0"/>
    <xf numFmtId="0" fontId="9" fillId="0" borderId="20" applyNumberFormat="0" applyFont="0" applyFill="0"/>
    <xf numFmtId="0" fontId="9" fillId="0" borderId="21" applyNumberFormat="0" applyFont="0" applyFill="0" applyAlignment="0"/>
    <xf numFmtId="14" fontId="9" fillId="0" borderId="0" applyFont="0" applyFill="0" applyBorder="0" applyAlignment="0"/>
    <xf numFmtId="6" fontId="9" fillId="4" borderId="0" applyFont="0" applyBorder="0" applyAlignment="0"/>
    <xf numFmtId="5" fontId="9" fillId="0" borderId="0" applyFont="0" applyFill="0" applyBorder="0" applyAlignment="0" applyProtection="0"/>
  </cellStyleXfs>
  <cellXfs count="127">
    <xf numFmtId="0" fontId="0" fillId="0" borderId="0" xfId="0"/>
    <xf numFmtId="0" fontId="0" fillId="0" borderId="0" xfId="0" applyBorder="1"/>
    <xf numFmtId="0" fontId="0" fillId="0" borderId="0" xfId="0" applyAlignment="1">
      <alignment wrapText="1"/>
    </xf>
    <xf numFmtId="0" fontId="4" fillId="0" borderId="0" xfId="0" applyFont="1"/>
    <xf numFmtId="0" fontId="0" fillId="0" borderId="4" xfId="0" applyBorder="1"/>
    <xf numFmtId="0" fontId="0" fillId="0" borderId="13" xfId="0" applyBorder="1"/>
    <xf numFmtId="0" fontId="0" fillId="0" borderId="6" xfId="0" applyBorder="1" applyProtection="1">
      <protection locked="0"/>
    </xf>
    <xf numFmtId="0" fontId="0" fillId="0" borderId="15" xfId="0" applyBorder="1" applyProtection="1">
      <protection locked="0"/>
    </xf>
    <xf numFmtId="0" fontId="0" fillId="0" borderId="6" xfId="0" applyBorder="1" applyAlignment="1" applyProtection="1">
      <alignment horizontal="left" vertical="center"/>
      <protection locked="0"/>
    </xf>
    <xf numFmtId="0" fontId="0" fillId="2" borderId="0" xfId="0" applyFill="1" applyBorder="1" applyAlignment="1"/>
    <xf numFmtId="0" fontId="0" fillId="2" borderId="0" xfId="0" applyFill="1" applyBorder="1" applyAlignment="1" applyProtection="1">
      <protection locked="0"/>
    </xf>
    <xf numFmtId="0" fontId="0" fillId="0" borderId="0" xfId="0" applyFont="1"/>
    <xf numFmtId="0" fontId="10" fillId="2" borderId="0" xfId="0" applyFont="1" applyFill="1"/>
    <xf numFmtId="0" fontId="0" fillId="2" borderId="0" xfId="0" applyFont="1" applyFill="1"/>
    <xf numFmtId="0" fontId="0" fillId="2" borderId="0" xfId="0" applyFill="1"/>
    <xf numFmtId="0" fontId="0" fillId="0" borderId="22" xfId="0" applyBorder="1"/>
    <xf numFmtId="0" fontId="0" fillId="0" borderId="22" xfId="0" applyFill="1" applyBorder="1" applyAlignment="1">
      <alignment horizontal="left"/>
    </xf>
    <xf numFmtId="0" fontId="0" fillId="0" borderId="22" xfId="0" applyBorder="1" applyAlignment="1">
      <alignment horizontal="left" vertical="top"/>
    </xf>
    <xf numFmtId="0" fontId="0" fillId="8" borderId="22" xfId="0" applyFill="1" applyBorder="1"/>
    <xf numFmtId="0" fontId="0" fillId="8" borderId="22" xfId="0" applyFill="1" applyBorder="1" applyAlignment="1">
      <alignment horizontal="left"/>
    </xf>
    <xf numFmtId="0" fontId="0" fillId="9" borderId="22" xfId="0" applyFill="1" applyBorder="1"/>
    <xf numFmtId="0" fontId="0" fillId="10" borderId="22" xfId="0" applyFill="1" applyBorder="1"/>
    <xf numFmtId="0" fontId="0" fillId="0" borderId="22" xfId="0" applyBorder="1" applyProtection="1">
      <protection locked="0"/>
    </xf>
    <xf numFmtId="0" fontId="0" fillId="0" borderId="22" xfId="0" applyBorder="1" applyAlignment="1" applyProtection="1">
      <alignment horizontal="left" vertical="center"/>
      <protection locked="0"/>
    </xf>
    <xf numFmtId="0" fontId="0" fillId="0" borderId="22" xfId="0" applyBorder="1" applyAlignment="1">
      <alignment horizontal="left" indent="1"/>
    </xf>
    <xf numFmtId="0" fontId="10" fillId="11" borderId="22" xfId="0" applyFont="1" applyFill="1" applyBorder="1"/>
    <xf numFmtId="0" fontId="0" fillId="11" borderId="22" xfId="0" applyFill="1" applyBorder="1" applyAlignment="1">
      <alignment horizontal="left"/>
    </xf>
    <xf numFmtId="0" fontId="8" fillId="8" borderId="22" xfId="0" applyFont="1" applyFill="1" applyBorder="1" applyAlignment="1">
      <alignment vertical="center"/>
    </xf>
    <xf numFmtId="0" fontId="10" fillId="11" borderId="22" xfId="0" applyFont="1" applyFill="1" applyBorder="1" applyAlignment="1">
      <alignment horizontal="left"/>
    </xf>
    <xf numFmtId="0" fontId="0" fillId="9" borderId="22" xfId="0" applyFill="1" applyBorder="1" applyAlignment="1">
      <alignment horizontal="center" vertical="center"/>
    </xf>
    <xf numFmtId="0" fontId="0" fillId="8" borderId="22" xfId="0" applyFill="1" applyBorder="1" applyAlignment="1">
      <alignment horizontal="center" vertical="center"/>
    </xf>
    <xf numFmtId="0" fontId="0" fillId="10" borderId="27" xfId="0" applyFill="1" applyBorder="1" applyAlignment="1">
      <alignment horizontal="left" indent="1"/>
    </xf>
    <xf numFmtId="0" fontId="0" fillId="10" borderId="29" xfId="0" applyFill="1" applyBorder="1" applyAlignment="1">
      <alignment horizontal="left" indent="1"/>
    </xf>
    <xf numFmtId="0" fontId="0" fillId="10" borderId="22" xfId="0" applyFill="1" applyBorder="1" applyAlignment="1">
      <alignment horizontal="left" indent="1"/>
    </xf>
    <xf numFmtId="0" fontId="0" fillId="10" borderId="30" xfId="0" applyFill="1" applyBorder="1" applyAlignment="1">
      <alignment horizontal="left" indent="1"/>
    </xf>
    <xf numFmtId="0" fontId="0" fillId="9" borderId="22" xfId="0" applyFill="1" applyBorder="1" applyAlignment="1">
      <alignment horizontal="left" indent="1"/>
    </xf>
    <xf numFmtId="0" fontId="0" fillId="8" borderId="22" xfId="0" applyFill="1" applyBorder="1" applyAlignment="1">
      <alignment horizontal="left" indent="1"/>
    </xf>
    <xf numFmtId="0" fontId="0" fillId="8" borderId="30" xfId="0" applyFill="1" applyBorder="1" applyAlignment="1">
      <alignment horizontal="left" indent="1"/>
    </xf>
    <xf numFmtId="0" fontId="0" fillId="8" borderId="28" xfId="0" applyFill="1" applyBorder="1" applyAlignment="1">
      <alignment horizontal="left" indent="1"/>
    </xf>
    <xf numFmtId="0" fontId="0" fillId="8" borderId="31" xfId="0" applyFill="1" applyBorder="1" applyAlignment="1">
      <alignment horizontal="left" indent="1"/>
    </xf>
    <xf numFmtId="0" fontId="10" fillId="11" borderId="22" xfId="0" applyFont="1" applyFill="1" applyBorder="1" applyAlignment="1">
      <alignment horizontal="left" vertical="center" indent="1"/>
    </xf>
    <xf numFmtId="0" fontId="1" fillId="11" borderId="22" xfId="0" applyFont="1" applyFill="1" applyBorder="1" applyAlignment="1">
      <alignment horizontal="left" vertical="center" indent="1"/>
    </xf>
    <xf numFmtId="0" fontId="0" fillId="8" borderId="23" xfId="0" applyFont="1" applyFill="1" applyBorder="1" applyAlignment="1">
      <alignment horizontal="left" vertical="distributed" indent="1"/>
    </xf>
    <xf numFmtId="0" fontId="0" fillId="8" borderId="22" xfId="0" applyFill="1" applyBorder="1" applyAlignment="1">
      <alignment horizontal="left" vertical="distributed" indent="1"/>
    </xf>
    <xf numFmtId="0" fontId="0" fillId="8" borderId="22" xfId="0" applyFill="1" applyBorder="1" applyAlignment="1">
      <alignment horizontal="left" vertical="distributed" wrapText="1" indent="1"/>
    </xf>
    <xf numFmtId="0" fontId="0" fillId="8" borderId="32" xfId="0" applyFill="1" applyBorder="1" applyAlignment="1" applyProtection="1">
      <alignment horizontal="left" indent="1"/>
      <protection locked="0"/>
    </xf>
    <xf numFmtId="0" fontId="0" fillId="8" borderId="22" xfId="0" applyFill="1" applyBorder="1" applyAlignment="1" applyProtection="1">
      <alignment horizontal="left" indent="1"/>
      <protection locked="0"/>
    </xf>
    <xf numFmtId="0" fontId="0" fillId="2" borderId="22" xfId="0" applyFill="1" applyBorder="1" applyAlignment="1">
      <alignment horizontal="left" indent="1"/>
    </xf>
    <xf numFmtId="0" fontId="0" fillId="2" borderId="22" xfId="0" applyFill="1" applyBorder="1" applyAlignment="1" applyProtection="1">
      <alignment horizontal="left" indent="1"/>
      <protection locked="0"/>
    </xf>
    <xf numFmtId="0" fontId="0" fillId="2" borderId="32" xfId="0" applyFill="1" applyBorder="1" applyAlignment="1" applyProtection="1">
      <alignment horizontal="left" indent="1"/>
      <protection locked="0"/>
    </xf>
    <xf numFmtId="0" fontId="0" fillId="11" borderId="22" xfId="0" applyFill="1" applyBorder="1"/>
    <xf numFmtId="0" fontId="0" fillId="9" borderId="22" xfId="0" applyFont="1" applyFill="1" applyBorder="1"/>
    <xf numFmtId="0" fontId="1" fillId="11" borderId="22" xfId="0" applyFont="1" applyFill="1" applyBorder="1"/>
    <xf numFmtId="0" fontId="1" fillId="11" borderId="10" xfId="0" applyFont="1" applyFill="1" applyBorder="1"/>
    <xf numFmtId="0" fontId="1" fillId="11" borderId="9" xfId="0" applyFont="1" applyFill="1" applyBorder="1"/>
    <xf numFmtId="0" fontId="1" fillId="11" borderId="33" xfId="0" applyFont="1" applyFill="1" applyBorder="1"/>
    <xf numFmtId="0" fontId="1" fillId="11" borderId="22" xfId="0" applyFont="1" applyFill="1" applyBorder="1" applyAlignment="1">
      <alignment horizontal="left" indent="1"/>
    </xf>
    <xf numFmtId="0" fontId="1" fillId="11" borderId="12" xfId="0" applyFont="1" applyFill="1" applyBorder="1"/>
    <xf numFmtId="0" fontId="0" fillId="11" borderId="0" xfId="0" applyFill="1"/>
    <xf numFmtId="0" fontId="1" fillId="11" borderId="14" xfId="0" applyFont="1" applyFill="1" applyBorder="1"/>
    <xf numFmtId="0" fontId="0" fillId="2" borderId="0" xfId="0" applyFill="1" applyBorder="1" applyAlignment="1">
      <alignment horizontal="left" indent="1"/>
    </xf>
    <xf numFmtId="0" fontId="0" fillId="8" borderId="22" xfId="0" applyFont="1" applyFill="1" applyBorder="1" applyAlignment="1">
      <alignment horizontal="left" indent="1"/>
    </xf>
    <xf numFmtId="11" fontId="0" fillId="8" borderId="22" xfId="0" applyNumberFormat="1" applyFont="1" applyFill="1" applyBorder="1" applyAlignment="1">
      <alignment horizontal="left" indent="1"/>
    </xf>
    <xf numFmtId="49" fontId="0" fillId="8" borderId="22" xfId="0" applyNumberFormat="1" applyFont="1" applyFill="1" applyBorder="1" applyAlignment="1">
      <alignment horizontal="left" indent="1"/>
    </xf>
    <xf numFmtId="0" fontId="0" fillId="0" borderId="22" xfId="0" applyFont="1" applyBorder="1" applyAlignment="1">
      <alignment horizontal="left" indent="1"/>
    </xf>
    <xf numFmtId="49" fontId="10" fillId="2" borderId="22" xfId="0" applyNumberFormat="1" applyFont="1" applyFill="1" applyBorder="1" applyAlignment="1">
      <alignment horizontal="left" indent="1"/>
    </xf>
    <xf numFmtId="0" fontId="0" fillId="0" borderId="0" xfId="0" applyAlignment="1">
      <alignment horizontal="left" indent="1"/>
    </xf>
    <xf numFmtId="0" fontId="1" fillId="11" borderId="3" xfId="0" applyFont="1" applyFill="1" applyBorder="1"/>
    <xf numFmtId="0" fontId="0" fillId="9" borderId="23" xfId="0" applyFill="1" applyBorder="1" applyAlignment="1">
      <alignment horizontal="left" indent="1"/>
    </xf>
    <xf numFmtId="0" fontId="0" fillId="8" borderId="23" xfId="0" applyFont="1" applyFill="1" applyBorder="1" applyAlignment="1">
      <alignment horizontal="left" indent="1"/>
    </xf>
    <xf numFmtId="0" fontId="1" fillId="11" borderId="22" xfId="0" applyFont="1" applyFill="1" applyBorder="1" applyAlignment="1">
      <alignment vertical="center"/>
    </xf>
    <xf numFmtId="0" fontId="1" fillId="11" borderId="22" xfId="0" applyFont="1" applyFill="1" applyBorder="1" applyAlignment="1">
      <alignment horizontal="left" vertical="center"/>
    </xf>
    <xf numFmtId="0" fontId="1" fillId="10" borderId="22" xfId="0" applyFont="1" applyFill="1" applyBorder="1" applyAlignment="1">
      <alignment vertical="center"/>
    </xf>
    <xf numFmtId="0" fontId="2" fillId="8" borderId="22" xfId="1" applyFill="1" applyBorder="1" applyAlignment="1">
      <alignment horizontal="left" vertical="distributed" indent="1"/>
    </xf>
    <xf numFmtId="0" fontId="2" fillId="8" borderId="0" xfId="1" applyFill="1" applyAlignment="1">
      <alignment horizontal="left" indent="1"/>
    </xf>
    <xf numFmtId="0" fontId="1" fillId="11" borderId="24" xfId="0" applyFont="1" applyFill="1" applyBorder="1" applyAlignment="1">
      <alignment horizontal="left" indent="1"/>
    </xf>
    <xf numFmtId="0" fontId="1" fillId="11" borderId="25" xfId="0" applyFont="1" applyFill="1" applyBorder="1" applyAlignment="1">
      <alignment horizontal="left" indent="1"/>
    </xf>
    <xf numFmtId="0" fontId="1" fillId="11" borderId="26" xfId="0" applyFont="1" applyFill="1" applyBorder="1" applyAlignment="1">
      <alignment horizontal="left" indent="1"/>
    </xf>
    <xf numFmtId="0" fontId="0" fillId="8" borderId="22" xfId="0" applyFont="1" applyFill="1" applyBorder="1" applyAlignment="1">
      <alignment horizontal="left" indent="1" shrinkToFit="1"/>
    </xf>
    <xf numFmtId="0" fontId="0" fillId="9" borderId="22" xfId="0" applyFill="1" applyBorder="1" applyAlignment="1">
      <alignment wrapText="1"/>
    </xf>
    <xf numFmtId="0" fontId="0" fillId="9" borderId="0" xfId="0" applyFill="1" applyBorder="1" applyAlignment="1">
      <alignment horizontal="left" indent="1"/>
    </xf>
    <xf numFmtId="0" fontId="0" fillId="8" borderId="0" xfId="0" applyFont="1" applyFill="1" applyBorder="1" applyAlignment="1">
      <alignment horizontal="left" indent="1"/>
    </xf>
    <xf numFmtId="0" fontId="0" fillId="2" borderId="0" xfId="0" applyFont="1" applyFill="1" applyBorder="1" applyAlignment="1">
      <alignment horizontal="left" indent="1"/>
    </xf>
    <xf numFmtId="49" fontId="14" fillId="8" borderId="22" xfId="0" applyNumberFormat="1" applyFont="1" applyFill="1" applyBorder="1" applyAlignment="1">
      <alignment horizontal="left" indent="1"/>
    </xf>
    <xf numFmtId="0" fontId="0" fillId="0" borderId="0" xfId="0" applyProtection="1">
      <protection locked="0"/>
    </xf>
    <xf numFmtId="0" fontId="0" fillId="9" borderId="35" xfId="0" applyFill="1" applyBorder="1" applyProtection="1">
      <protection locked="0"/>
    </xf>
    <xf numFmtId="0" fontId="0" fillId="9" borderId="22" xfId="0" applyFill="1" applyBorder="1" applyProtection="1">
      <protection locked="0"/>
    </xf>
    <xf numFmtId="0" fontId="10" fillId="11" borderId="22" xfId="0" applyFont="1" applyFill="1" applyBorder="1" applyProtection="1">
      <protection locked="0"/>
    </xf>
    <xf numFmtId="0" fontId="0" fillId="9" borderId="32" xfId="0" applyFill="1" applyBorder="1" applyProtection="1">
      <protection locked="0"/>
    </xf>
    <xf numFmtId="0" fontId="0" fillId="9" borderId="37" xfId="0" applyFill="1" applyBorder="1" applyProtection="1">
      <protection locked="0"/>
    </xf>
    <xf numFmtId="0" fontId="10" fillId="11" borderId="23" xfId="0" applyFont="1" applyFill="1" applyBorder="1" applyProtection="1"/>
    <xf numFmtId="0" fontId="10" fillId="11" borderId="22" xfId="0" applyFont="1" applyFill="1" applyBorder="1" applyProtection="1"/>
    <xf numFmtId="0" fontId="10" fillId="12" borderId="35" xfId="0" applyFont="1" applyFill="1" applyBorder="1" applyAlignment="1" applyProtection="1"/>
    <xf numFmtId="0" fontId="10" fillId="12" borderId="36" xfId="0" applyFont="1" applyFill="1" applyBorder="1" applyAlignment="1" applyProtection="1">
      <alignment horizontal="right"/>
    </xf>
    <xf numFmtId="0" fontId="1" fillId="12" borderId="36" xfId="0" applyFont="1" applyFill="1" applyBorder="1" applyAlignment="1" applyProtection="1"/>
    <xf numFmtId="11" fontId="0" fillId="2" borderId="22" xfId="0" applyNumberFormat="1" applyFont="1" applyFill="1" applyBorder="1" applyAlignment="1">
      <alignment horizontal="left" indent="1"/>
    </xf>
    <xf numFmtId="0" fontId="0" fillId="2" borderId="22" xfId="0" applyFont="1" applyFill="1" applyBorder="1" applyAlignment="1">
      <alignment horizontal="left" indent="1"/>
    </xf>
    <xf numFmtId="0" fontId="1" fillId="11" borderId="2" xfId="0" applyFont="1" applyFill="1" applyBorder="1" applyAlignment="1" applyProtection="1">
      <alignment horizontal="left" indent="1"/>
      <protection locked="0"/>
    </xf>
    <xf numFmtId="0" fontId="10" fillId="11" borderId="5" xfId="0" applyFont="1" applyFill="1" applyBorder="1" applyAlignment="1" applyProtection="1">
      <alignment horizontal="left" indent="1"/>
      <protection locked="0"/>
    </xf>
    <xf numFmtId="0" fontId="0" fillId="9" borderId="22" xfId="0" applyFill="1" applyBorder="1" applyAlignment="1" applyProtection="1">
      <alignment horizontal="left" indent="1"/>
      <protection locked="0"/>
    </xf>
    <xf numFmtId="0" fontId="2" fillId="8" borderId="22" xfId="1" applyFill="1" applyBorder="1" applyAlignment="1" applyProtection="1">
      <alignment horizontal="left" indent="1"/>
      <protection locked="0"/>
    </xf>
    <xf numFmtId="0" fontId="0" fillId="9" borderId="34" xfId="0" applyFill="1" applyBorder="1" applyAlignment="1" applyProtection="1">
      <alignment horizontal="left" indent="1"/>
      <protection locked="0"/>
    </xf>
    <xf numFmtId="0" fontId="0" fillId="8" borderId="34" xfId="0" applyFill="1" applyBorder="1" applyAlignment="1" applyProtection="1">
      <alignment horizontal="left" indent="1"/>
      <protection locked="0"/>
    </xf>
    <xf numFmtId="0" fontId="0" fillId="9" borderId="34" xfId="0" applyFill="1" applyBorder="1" applyAlignment="1" applyProtection="1">
      <alignment horizontal="left" indent="1"/>
    </xf>
    <xf numFmtId="0" fontId="0" fillId="8" borderId="34" xfId="0" applyFill="1" applyBorder="1" applyAlignment="1" applyProtection="1">
      <alignment horizontal="left" indent="1"/>
    </xf>
    <xf numFmtId="0" fontId="1" fillId="11" borderId="35" xfId="0" applyFont="1" applyFill="1" applyBorder="1" applyAlignment="1">
      <alignment vertical="center"/>
    </xf>
    <xf numFmtId="0" fontId="14" fillId="2" borderId="22" xfId="0" applyFont="1" applyFill="1" applyBorder="1" applyAlignment="1">
      <alignment horizontal="left" indent="1"/>
    </xf>
    <xf numFmtId="0" fontId="15" fillId="11" borderId="22" xfId="0" applyFont="1" applyFill="1" applyBorder="1" applyAlignment="1">
      <alignment horizontal="left" indent="1"/>
    </xf>
    <xf numFmtId="0" fontId="15" fillId="11" borderId="0" xfId="0" applyFont="1" applyFill="1"/>
    <xf numFmtId="0" fontId="2" fillId="8" borderId="22" xfId="1" applyFill="1" applyBorder="1" applyAlignment="1">
      <alignment horizontal="left" indent="1"/>
    </xf>
    <xf numFmtId="0" fontId="0" fillId="8" borderId="22" xfId="0" applyFont="1" applyFill="1" applyBorder="1" applyAlignment="1">
      <alignment horizontal="left" wrapText="1" indent="1"/>
    </xf>
    <xf numFmtId="0" fontId="2" fillId="8" borderId="22" xfId="1" applyFill="1" applyBorder="1" applyAlignment="1" applyProtection="1">
      <alignment horizontal="left" wrapText="1" indent="1"/>
      <protection locked="0"/>
    </xf>
    <xf numFmtId="49" fontId="0" fillId="13" borderId="40" xfId="0" applyNumberFormat="1" applyFill="1" applyBorder="1" applyAlignment="1">
      <alignment horizontal="left" indent="1"/>
    </xf>
    <xf numFmtId="49" fontId="0" fillId="13" borderId="40" xfId="0" applyNumberFormat="1" applyFill="1" applyBorder="1"/>
    <xf numFmtId="49" fontId="0" fillId="13" borderId="40" xfId="0" applyNumberFormat="1" applyFill="1" applyBorder="1" applyAlignment="1"/>
    <xf numFmtId="0" fontId="15" fillId="12" borderId="32" xfId="0" applyNumberFormat="1" applyFont="1" applyFill="1" applyBorder="1" applyAlignment="1">
      <alignment horizontal="center" vertical="center"/>
    </xf>
    <xf numFmtId="0" fontId="15" fillId="12" borderId="38" xfId="0" applyNumberFormat="1" applyFont="1" applyFill="1" applyBorder="1" applyAlignment="1">
      <alignment horizontal="center" vertical="center"/>
    </xf>
    <xf numFmtId="0" fontId="15" fillId="12" borderId="39" xfId="0" applyNumberFormat="1" applyFont="1" applyFill="1" applyBorder="1" applyAlignment="1">
      <alignment horizontal="center" vertical="center"/>
    </xf>
    <xf numFmtId="0" fontId="1" fillId="11" borderId="22" xfId="0" applyFont="1" applyFill="1" applyBorder="1" applyAlignment="1">
      <alignment horizontal="center" vertical="center"/>
    </xf>
    <xf numFmtId="0" fontId="1" fillId="11" borderId="22" xfId="0" applyFont="1" applyFill="1" applyBorder="1" applyAlignment="1">
      <alignment horizontal="left" indent="1"/>
    </xf>
    <xf numFmtId="0" fontId="1" fillId="11" borderId="32" xfId="0" applyFont="1" applyFill="1" applyBorder="1" applyAlignment="1">
      <alignment horizontal="left" indent="1"/>
    </xf>
    <xf numFmtId="0" fontId="3" fillId="2" borderId="10" xfId="0" applyFont="1" applyFill="1" applyBorder="1" applyAlignment="1">
      <alignment horizontal="left"/>
    </xf>
    <xf numFmtId="0" fontId="3" fillId="2" borderId="9" xfId="0" applyFont="1" applyFill="1" applyBorder="1" applyAlignment="1">
      <alignment horizontal="left"/>
    </xf>
    <xf numFmtId="0" fontId="3" fillId="2" borderId="8" xfId="0" applyFont="1" applyFill="1" applyBorder="1" applyAlignment="1">
      <alignment horizontal="left"/>
    </xf>
    <xf numFmtId="0" fontId="3" fillId="2" borderId="7" xfId="0" applyFont="1" applyFill="1" applyBorder="1" applyAlignment="1">
      <alignment horizontal="left"/>
    </xf>
    <xf numFmtId="0" fontId="3" fillId="2" borderId="1" xfId="0" applyFont="1" applyFill="1" applyBorder="1" applyAlignment="1">
      <alignment horizontal="left"/>
    </xf>
    <xf numFmtId="0" fontId="3" fillId="2" borderId="11" xfId="0" applyFont="1" applyFill="1" applyBorder="1" applyAlignment="1">
      <alignment horizontal="left"/>
    </xf>
  </cellXfs>
  <cellStyles count="19">
    <cellStyle name="Bottom Border" xfId="12"/>
    <cellStyle name="Currency 2" xfId="18"/>
    <cellStyle name="Date" xfId="16"/>
    <cellStyle name="GrayCell" xfId="9"/>
    <cellStyle name="Heading 1 2" xfId="2"/>
    <cellStyle name="Heading 2 2" xfId="3"/>
    <cellStyle name="Heading 3 2" xfId="10"/>
    <cellStyle name="Heading 4 2" xfId="11"/>
    <cellStyle name="Highlight" xfId="17"/>
    <cellStyle name="Hyperlink" xfId="1" builtinId="8"/>
    <cellStyle name="Left Bottom Green Border" xfId="14"/>
    <cellStyle name="Left Green Border" xfId="15"/>
    <cellStyle name="Normal" xfId="0" builtinId="0"/>
    <cellStyle name="OrangeBorder" xfId="7"/>
    <cellStyle name="Right Green Border" xfId="13"/>
    <cellStyle name="Start Text" xfId="5"/>
    <cellStyle name="Title 2" xfId="4"/>
    <cellStyle name="YellowCell" xfId="8"/>
    <cellStyle name="z A Column text" xfId="6"/>
  </cellStyles>
  <dxfs count="4">
    <dxf>
      <font>
        <color theme="0"/>
      </font>
      <fill>
        <patternFill>
          <bgColor rgb="FF359966"/>
        </patternFill>
      </fill>
    </dxf>
    <dxf>
      <font>
        <color theme="0"/>
      </font>
      <fill>
        <patternFill>
          <bgColor rgb="FF359966"/>
        </patternFill>
      </fill>
    </dxf>
    <dxf>
      <fill>
        <patternFill>
          <bgColor theme="0" tint="-4.9989318521683403E-2"/>
        </patternFill>
      </fill>
    </dxf>
    <dxf>
      <font>
        <color theme="0"/>
      </font>
      <fill>
        <patternFill>
          <bgColor rgb="FF339966"/>
        </patternFill>
      </fill>
    </dxf>
  </dxfs>
  <tableStyles count="2" defaultTableStyle="TableStyleMedium2" defaultPivotStyle="PivotStyleLight16">
    <tableStyle name="CustomTableStyle" pivot="0" count="2">
      <tableStyleElement type="headerRow" dxfId="3"/>
      <tableStyleElement type="firstRowStripe" dxfId="2"/>
    </tableStyle>
    <tableStyle name="PivotTable Style 1" table="0" count="2">
      <tableStyleElement type="headerRow" dxfId="1"/>
      <tableStyleElement type="total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3</xdr:col>
      <xdr:colOff>228600</xdr:colOff>
      <xdr:row>0</xdr:row>
      <xdr:rowOff>107950</xdr:rowOff>
    </xdr:from>
    <xdr:to>
      <xdr:col>8</xdr:col>
      <xdr:colOff>342900</xdr:colOff>
      <xdr:row>3</xdr:row>
      <xdr:rowOff>95250</xdr:rowOff>
    </xdr:to>
    <xdr:sp macro="[0]!GenerateConfigYMLS" textlink="">
      <xdr:nvSpPr>
        <xdr:cNvPr id="3" name="Rectangle 2">
          <a:extLst>
            <a:ext uri="{FF2B5EF4-FFF2-40B4-BE49-F238E27FC236}">
              <a16:creationId xmlns:a16="http://schemas.microsoft.com/office/drawing/2014/main" id="{8F790286-96DE-46C5-86F3-F76FA4696529}"/>
            </a:ext>
          </a:extLst>
        </xdr:cNvPr>
        <xdr:cNvSpPr/>
      </xdr:nvSpPr>
      <xdr:spPr>
        <a:xfrm>
          <a:off x="8331200" y="107950"/>
          <a:ext cx="3162300" cy="55245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200" b="1">
              <a:solidFill>
                <a:schemeClr val="bg1"/>
              </a:solidFill>
            </a:rPr>
            <a:t>CLICK HERE TO GENERATE CONFIG FILES</a:t>
          </a:r>
        </a:p>
        <a:p>
          <a:pPr algn="ctr"/>
          <a:r>
            <a:rPr lang="en-US" sz="1200" b="1">
              <a:solidFill>
                <a:schemeClr val="bg1"/>
              </a:solidFill>
            </a:rPr>
            <a:t>(</a:t>
          </a:r>
          <a:r>
            <a:rPr lang="en-US" sz="1200" b="1" baseline="0">
              <a:solidFill>
                <a:schemeClr val="bg1"/>
              </a:solidFill>
            </a:rPr>
            <a:t> CTRL + SHIFT + X )</a:t>
          </a:r>
          <a:endParaRPr lang="en-US" sz="1200" b="1">
            <a:solidFill>
              <a:schemeClr val="bg1"/>
            </a:solidFill>
          </a:endParaRPr>
        </a:p>
      </xdr:txBody>
    </xdr:sp>
    <xdr:clientData/>
  </xdr:twoCellAnchor>
  <xdr:twoCellAnchor>
    <xdr:from>
      <xdr:col>3</xdr:col>
      <xdr:colOff>222250</xdr:colOff>
      <xdr:row>3</xdr:row>
      <xdr:rowOff>165100</xdr:rowOff>
    </xdr:from>
    <xdr:to>
      <xdr:col>8</xdr:col>
      <xdr:colOff>330200</xdr:colOff>
      <xdr:row>5</xdr:row>
      <xdr:rowOff>165100</xdr:rowOff>
    </xdr:to>
    <xdr:sp macro="[0]!GenerateDescriptors" textlink="">
      <xdr:nvSpPr>
        <xdr:cNvPr id="2" name="Rectangle 1">
          <a:extLst>
            <a:ext uri="{FF2B5EF4-FFF2-40B4-BE49-F238E27FC236}">
              <a16:creationId xmlns:a16="http://schemas.microsoft.com/office/drawing/2014/main" id="{1E6064DD-F60D-479D-937F-CFF11AECFE9D}"/>
            </a:ext>
          </a:extLst>
        </xdr:cNvPr>
        <xdr:cNvSpPr/>
      </xdr:nvSpPr>
      <xdr:spPr>
        <a:xfrm>
          <a:off x="8324850" y="730250"/>
          <a:ext cx="3155950" cy="55245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200" b="1">
              <a:solidFill>
                <a:schemeClr val="bg1"/>
              </a:solidFill>
            </a:rPr>
            <a:t>CLICK HERE</a:t>
          </a:r>
          <a:r>
            <a:rPr lang="en-US" sz="1200" b="1" baseline="0">
              <a:solidFill>
                <a:schemeClr val="bg1"/>
              </a:solidFill>
            </a:rPr>
            <a:t> TO GENERATE DESCRIPTORS</a:t>
          </a:r>
          <a:br>
            <a:rPr lang="en-US" sz="1200" b="1" baseline="0">
              <a:solidFill>
                <a:schemeClr val="bg1"/>
              </a:solidFill>
            </a:rPr>
          </a:br>
          <a:r>
            <a:rPr lang="en-US" sz="1200" b="1" baseline="0">
              <a:solidFill>
                <a:schemeClr val="bg1"/>
              </a:solidFill>
            </a:rPr>
            <a:t>( CTRL + SHIFT + D )</a:t>
          </a:r>
          <a:endParaRPr lang="en-US" sz="1200" b="1">
            <a:solidFill>
              <a:schemeClr val="bg1"/>
            </a:solidFill>
          </a:endParaRPr>
        </a:p>
      </xdr:txBody>
    </xdr:sp>
    <xdr:clientData/>
  </xdr:twoCellAnchor>
  <xdr:twoCellAnchor>
    <xdr:from>
      <xdr:col>3</xdr:col>
      <xdr:colOff>247650</xdr:colOff>
      <xdr:row>13</xdr:row>
      <xdr:rowOff>107950</xdr:rowOff>
    </xdr:from>
    <xdr:to>
      <xdr:col>8</xdr:col>
      <xdr:colOff>374650</xdr:colOff>
      <xdr:row>16</xdr:row>
      <xdr:rowOff>120650</xdr:rowOff>
    </xdr:to>
    <xdr:sp macro="[0]!XML_XLSM" textlink="">
      <xdr:nvSpPr>
        <xdr:cNvPr id="4" name="Rectangle 3">
          <a:extLst>
            <a:ext uri="{FF2B5EF4-FFF2-40B4-BE49-F238E27FC236}">
              <a16:creationId xmlns:a16="http://schemas.microsoft.com/office/drawing/2014/main" id="{1E9ED676-084C-4539-AAA7-380BB794916A}"/>
            </a:ext>
          </a:extLst>
        </xdr:cNvPr>
        <xdr:cNvSpPr/>
      </xdr:nvSpPr>
      <xdr:spPr>
        <a:xfrm>
          <a:off x="8350250" y="2698750"/>
          <a:ext cx="3175000" cy="56515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1">
              <a:solidFill>
                <a:schemeClr val="bg1"/>
              </a:solidFill>
            </a:rPr>
            <a:t>CLICK HERE TO LOAD </a:t>
          </a:r>
          <a:r>
            <a:rPr lang="en-US" sz="1200" b="1" baseline="0">
              <a:solidFill>
                <a:schemeClr val="bg1"/>
              </a:solidFill>
            </a:rPr>
            <a:t>EXISTING DESCRIPTORS</a:t>
          </a:r>
          <a:endParaRPr lang="en-US" sz="1200" b="1">
            <a:solidFill>
              <a:schemeClr val="bg1"/>
            </a:solidFill>
          </a:endParaRPr>
        </a:p>
      </xdr:txBody>
    </xdr:sp>
    <xdr:clientData/>
  </xdr:twoCellAnchor>
  <xdr:twoCellAnchor>
    <xdr:from>
      <xdr:col>3</xdr:col>
      <xdr:colOff>260350</xdr:colOff>
      <xdr:row>17</xdr:row>
      <xdr:rowOff>12700</xdr:rowOff>
    </xdr:from>
    <xdr:to>
      <xdr:col>8</xdr:col>
      <xdr:colOff>368300</xdr:colOff>
      <xdr:row>20</xdr:row>
      <xdr:rowOff>19050</xdr:rowOff>
    </xdr:to>
    <xdr:sp macro="[0]!LoadENVS" textlink="">
      <xdr:nvSpPr>
        <xdr:cNvPr id="5" name="Rectangle 4">
          <a:extLst>
            <a:ext uri="{FF2B5EF4-FFF2-40B4-BE49-F238E27FC236}">
              <a16:creationId xmlns:a16="http://schemas.microsoft.com/office/drawing/2014/main" id="{E9938430-E32C-457E-8EDA-97A2DC3E51F4}"/>
            </a:ext>
          </a:extLst>
        </xdr:cNvPr>
        <xdr:cNvSpPr/>
      </xdr:nvSpPr>
      <xdr:spPr>
        <a:xfrm>
          <a:off x="8362950" y="3340100"/>
          <a:ext cx="3155950" cy="55880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1">
              <a:solidFill>
                <a:schemeClr val="bg1"/>
              </a:solidFill>
            </a:rPr>
            <a:t>CLICK HERE TO LOAD CMS/VNFM ENV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hyperlink" Target="http://10.1.1.14/mavenir/VNF/CMS/CMSNFV-R_7_1_15_0/CloudRange-CMSNFV-rhel_7_2_x86_64-CMSNFV-R_7_1_15_0-v1-20180518220708-j1767.qcow2.txz" TargetMode="External"/><Relationship Id="rId2" Type="http://schemas.openxmlformats.org/officeDocument/2006/relationships/hyperlink" Target="http://10.10.225.225/CRDL/Cluster.txz" TargetMode="External"/><Relationship Id="rId1" Type="http://schemas.openxmlformats.org/officeDocument/2006/relationships/hyperlink" Target="http://10.10.225.225/CRDL/Admin.txz" TargetMode="External"/><Relationship Id="rId5" Type="http://schemas.openxmlformats.org/officeDocument/2006/relationships/printerSettings" Target="../printerSettings/printerSettings3.bin"/><Relationship Id="rId4" Type="http://schemas.openxmlformats.org/officeDocument/2006/relationships/hyperlink" Target="mailto:Wind@234" TargetMode="External"/></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8" Type="http://schemas.openxmlformats.org/officeDocument/2006/relationships/hyperlink" Target="http://10.10.233.74:8001/WRG_Upgrade_Apr_30/CloudRange-rhel_7_2_vnf-RESIP-R_1_0_6_5-Patch-v2-20190408051923-s355.qcow2" TargetMode="External"/><Relationship Id="rId13" Type="http://schemas.openxmlformats.org/officeDocument/2006/relationships/vmlDrawing" Target="../drawings/vmlDrawing4.vml"/><Relationship Id="rId3" Type="http://schemas.openxmlformats.org/officeDocument/2006/relationships/hyperlink" Target="http://10.10.233.74:8001/WRG_Upgrade_Apr_30/CloudRange-rhel_7_2_vnf_diamre-REUDIAM-R_1_0_6_0-v1-20190326122701-s238.qcow2" TargetMode="External"/><Relationship Id="rId7" Type="http://schemas.openxmlformats.org/officeDocument/2006/relationships/hyperlink" Target="http://10.10.233.74:8001/WRG_Upgrade_Apr_30/CloudRange-rhel_7_2_vnf_webrtcc-WRG-SC-R_6_0_3_3-v1-20190426100053-s506.qcow2" TargetMode="External"/><Relationship Id="rId12" Type="http://schemas.openxmlformats.org/officeDocument/2006/relationships/printerSettings" Target="../printerSettings/printerSettings9.bin"/><Relationship Id="rId2" Type="http://schemas.openxmlformats.org/officeDocument/2006/relationships/hyperlink" Target="http://10.10.225.225/IMC/CloudRange-rhel_7_2_rm-VLB-FE-R_1_0_10_1-v1-20180504181849-j1625.qcow2" TargetMode="External"/><Relationship Id="rId1" Type="http://schemas.openxmlformats.org/officeDocument/2006/relationships/hyperlink" Target="https://10.10.225.26:18080/" TargetMode="External"/><Relationship Id="rId6" Type="http://schemas.openxmlformats.org/officeDocument/2006/relationships/hyperlink" Target="http://10.10.233.74:8001/WRG_Upgrade_Apr_30/CloudRange-rhel_7_2_vnf-2.8.0.1_mp-MP-R_1_1_5_2-v2-20190404142023-j3992.qcow2" TargetMode="External"/><Relationship Id="rId11" Type="http://schemas.openxmlformats.org/officeDocument/2006/relationships/hyperlink" Target="http://10.10.233.74:8001/WRG_Upgrade_Apr_30/CloudRange-rhel_7_2_rm-2.9.0.1-VLBFE-R_1_0_19_0-v4-20190401163210-s312.qcow2" TargetMode="External"/><Relationship Id="rId5" Type="http://schemas.openxmlformats.org/officeDocument/2006/relationships/hyperlink" Target="http://10.10.233.74:8001/WRG_Upgrade_Apr_30/CloudRange-rhel_7_2_vnf_gtre-REUGT-R_1_0_6_0-v1-20190326125732-s239.qcow2" TargetMode="External"/><Relationship Id="rId10" Type="http://schemas.openxmlformats.org/officeDocument/2006/relationships/hyperlink" Target="http://10.10.233.74:8001/WRG_Upgrade_Apr_30/CloudRange-rhel_7_2_vnf_upc-UPC-R_1_1_4_2-v1-20190404030552-s329.qcow2" TargetMode="External"/><Relationship Id="rId4" Type="http://schemas.openxmlformats.org/officeDocument/2006/relationships/hyperlink" Target="http://10.10.233.74:8001/WRG_Upgrade_Apr_30/CloudRange-rhel_7_2_rm-2.9.0.1-VLBFE-R_1_0_19_0-v4-20190401163210-s312.qcow2" TargetMode="External"/><Relationship Id="rId9" Type="http://schemas.openxmlformats.org/officeDocument/2006/relationships/hyperlink" Target="http://10.10.233.74:8001/WRG_Upgrade_Apr_30/CloudRange-rhel_7_2_vnf-2.8.0.1_tc-TC-R_1_1_5_0-v1-20190326161109-s241.qcow2" TargetMode="External"/><Relationship Id="rId14" Type="http://schemas.openxmlformats.org/officeDocument/2006/relationships/comments" Target="../comments4.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20"/>
  <sheetViews>
    <sheetView tabSelected="1" workbookViewId="0">
      <selection activeCell="B14" sqref="B14"/>
    </sheetView>
  </sheetViews>
  <sheetFormatPr defaultRowHeight="15" x14ac:dyDescent="0.25"/>
  <cols>
    <col min="2" max="2" width="38.85546875" customWidth="1"/>
    <col min="3" max="3" width="68.28515625" customWidth="1"/>
  </cols>
  <sheetData>
    <row r="1" spans="1:9" ht="15.75" x14ac:dyDescent="0.25">
      <c r="A1" s="115" t="s">
        <v>646</v>
      </c>
      <c r="B1" s="116"/>
      <c r="C1" s="117"/>
    </row>
    <row r="2" spans="1:9" x14ac:dyDescent="0.25">
      <c r="A2" s="40" t="s">
        <v>403</v>
      </c>
      <c r="B2" s="41" t="s">
        <v>373</v>
      </c>
      <c r="C2" s="41" t="s">
        <v>374</v>
      </c>
    </row>
    <row r="3" spans="1:9" s="13" customFormat="1" x14ac:dyDescent="0.25">
      <c r="A3" s="42">
        <v>1</v>
      </c>
      <c r="B3" s="74" t="s">
        <v>418</v>
      </c>
      <c r="C3" s="42" t="s">
        <v>419</v>
      </c>
    </row>
    <row r="4" spans="1:9" ht="30" x14ac:dyDescent="0.25">
      <c r="A4" s="43">
        <v>2</v>
      </c>
      <c r="B4" s="73" t="s">
        <v>375</v>
      </c>
      <c r="C4" s="44" t="s">
        <v>390</v>
      </c>
      <c r="D4" s="2"/>
      <c r="E4" s="2"/>
      <c r="F4" s="2"/>
      <c r="G4" s="2"/>
      <c r="H4" s="2"/>
      <c r="I4" s="2"/>
    </row>
    <row r="5" spans="1:9" x14ac:dyDescent="0.25">
      <c r="A5" s="42">
        <v>3</v>
      </c>
      <c r="B5" s="73" t="s">
        <v>377</v>
      </c>
      <c r="C5" s="43" t="s">
        <v>391</v>
      </c>
    </row>
    <row r="6" spans="1:9" x14ac:dyDescent="0.25">
      <c r="A6" s="42">
        <v>4</v>
      </c>
      <c r="B6" s="73" t="s">
        <v>376</v>
      </c>
      <c r="C6" s="43" t="s">
        <v>392</v>
      </c>
    </row>
    <row r="7" spans="1:9" x14ac:dyDescent="0.25">
      <c r="A7" s="43">
        <v>5</v>
      </c>
      <c r="B7" s="73" t="s">
        <v>378</v>
      </c>
      <c r="C7" s="43" t="s">
        <v>393</v>
      </c>
    </row>
    <row r="8" spans="1:9" x14ac:dyDescent="0.25">
      <c r="A8" s="42">
        <v>6</v>
      </c>
      <c r="B8" s="73" t="s">
        <v>379</v>
      </c>
      <c r="C8" s="43" t="s">
        <v>394</v>
      </c>
    </row>
    <row r="9" spans="1:9" x14ac:dyDescent="0.25">
      <c r="A9" s="42">
        <v>7</v>
      </c>
      <c r="B9" s="73" t="s">
        <v>380</v>
      </c>
      <c r="C9" s="43" t="s">
        <v>395</v>
      </c>
    </row>
    <row r="10" spans="1:9" x14ac:dyDescent="0.25">
      <c r="A10" s="43">
        <v>8</v>
      </c>
      <c r="B10" s="73" t="s">
        <v>381</v>
      </c>
      <c r="C10" s="43" t="s">
        <v>396</v>
      </c>
    </row>
    <row r="11" spans="1:9" x14ac:dyDescent="0.25">
      <c r="A11" s="42">
        <v>9</v>
      </c>
      <c r="B11" s="73" t="s">
        <v>382</v>
      </c>
      <c r="C11" s="43" t="s">
        <v>398</v>
      </c>
    </row>
    <row r="12" spans="1:9" x14ac:dyDescent="0.25">
      <c r="A12" s="42">
        <v>10</v>
      </c>
      <c r="B12" s="73" t="s">
        <v>383</v>
      </c>
      <c r="C12" s="43" t="s">
        <v>399</v>
      </c>
    </row>
    <row r="13" spans="1:9" ht="30" x14ac:dyDescent="0.25">
      <c r="A13" s="43">
        <v>11</v>
      </c>
      <c r="B13" s="73" t="s">
        <v>384</v>
      </c>
      <c r="C13" s="43" t="s">
        <v>400</v>
      </c>
    </row>
    <row r="14" spans="1:9" x14ac:dyDescent="0.25">
      <c r="A14" s="42">
        <v>12</v>
      </c>
      <c r="B14" s="73" t="s">
        <v>385</v>
      </c>
      <c r="C14" s="43" t="s">
        <v>397</v>
      </c>
    </row>
    <row r="15" spans="1:9" x14ac:dyDescent="0.25">
      <c r="A15" s="42">
        <v>13</v>
      </c>
      <c r="B15" s="73" t="s">
        <v>386</v>
      </c>
      <c r="C15" s="43" t="s">
        <v>397</v>
      </c>
    </row>
    <row r="16" spans="1:9" x14ac:dyDescent="0.25">
      <c r="A16" s="43">
        <v>14</v>
      </c>
      <c r="B16" s="73" t="s">
        <v>387</v>
      </c>
      <c r="C16" s="43" t="s">
        <v>397</v>
      </c>
    </row>
    <row r="17" spans="1:3" x14ac:dyDescent="0.25">
      <c r="A17" s="42">
        <v>15</v>
      </c>
      <c r="B17" s="73" t="s">
        <v>388</v>
      </c>
      <c r="C17" s="43" t="s">
        <v>397</v>
      </c>
    </row>
    <row r="18" spans="1:3" x14ac:dyDescent="0.25">
      <c r="A18" s="42">
        <v>16</v>
      </c>
      <c r="B18" s="73" t="s">
        <v>495</v>
      </c>
      <c r="C18" s="43" t="s">
        <v>397</v>
      </c>
    </row>
    <row r="19" spans="1:3" x14ac:dyDescent="0.25">
      <c r="A19" s="43">
        <v>17</v>
      </c>
      <c r="B19" s="74" t="s">
        <v>389</v>
      </c>
      <c r="C19" s="43" t="s">
        <v>401</v>
      </c>
    </row>
    <row r="20" spans="1:3" ht="30" x14ac:dyDescent="0.25">
      <c r="A20" s="42">
        <v>18</v>
      </c>
      <c r="B20" s="73" t="s">
        <v>481</v>
      </c>
      <c r="C20" s="43" t="s">
        <v>482</v>
      </c>
    </row>
  </sheetData>
  <mergeCells count="1">
    <mergeCell ref="A1:C1"/>
  </mergeCells>
  <hyperlinks>
    <hyperlink ref="B3" location="'Raid Config'!A1" display="Raid Config"/>
    <hyperlink ref="B4" location="'OS Config'!A1" display="OS Config"/>
    <hyperlink ref="B5" location="'Controller Config'!A1" display="Controller Config"/>
    <hyperlink ref="B6" location="'Network Config'!A1" display="Network Config"/>
    <hyperlink ref="B7" location="'Host Config'!A1" display="Host Config"/>
    <hyperlink ref="B8" location="flavor!A1" display="flavor"/>
    <hyperlink ref="B9" location="IDRAC_Inventory!A1" display="IDRAC_Inventory"/>
    <hyperlink ref="B10" location="HeatTemplate_Conf!A1" display="HeatTemplate_Conf"/>
    <hyperlink ref="B11" location="'Instantiating CMS'!A1" display="Instantiating CMS"/>
    <hyperlink ref="B12" location="'Instantiating VNFM'!A1" display="Instantiating VNFM"/>
    <hyperlink ref="B13" location="CONTROLLER_Inventory!A1" display="CONTROLLER_Inventory"/>
    <hyperlink ref="B14" location="VLD!A1" display="VLD"/>
    <hyperlink ref="B15" location="VNFD!A1" display="VNFD"/>
    <hyperlink ref="B16" location="NSD!A1" display="NSD"/>
    <hyperlink ref="B17" location="LVND!A1" display="LVND"/>
    <hyperlink ref="B19" location="VNFM_config!A1" display="VNFM_config"/>
    <hyperlink ref="B20" location="Ping_Test!A1" display="Ping_Test"/>
    <hyperlink ref="B18" location="LCMD!A1" display="LVND"/>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D8"/>
  <sheetViews>
    <sheetView workbookViewId="0">
      <selection activeCell="A12" sqref="A12"/>
    </sheetView>
  </sheetViews>
  <sheetFormatPr defaultRowHeight="15" x14ac:dyDescent="0.25"/>
  <cols>
    <col min="1" max="1" width="45.7109375" customWidth="1"/>
    <col min="2" max="2" width="13.5703125" bestFit="1" customWidth="1"/>
    <col min="3" max="3" width="43.7109375" bestFit="1" customWidth="1"/>
    <col min="4" max="4" width="13.28515625" customWidth="1"/>
  </cols>
  <sheetData>
    <row r="1" spans="1:4" x14ac:dyDescent="0.25">
      <c r="A1" s="75" t="s">
        <v>172</v>
      </c>
      <c r="B1" s="76" t="s">
        <v>59</v>
      </c>
      <c r="C1" s="76" t="s">
        <v>172</v>
      </c>
      <c r="D1" s="77" t="s">
        <v>59</v>
      </c>
    </row>
    <row r="2" spans="1:4" x14ac:dyDescent="0.25">
      <c r="A2" s="31" t="s">
        <v>409</v>
      </c>
      <c r="B2" s="36" t="s">
        <v>62</v>
      </c>
      <c r="C2" s="33" t="s">
        <v>409</v>
      </c>
      <c r="D2" s="38" t="s">
        <v>410</v>
      </c>
    </row>
    <row r="3" spans="1:4" x14ac:dyDescent="0.25">
      <c r="A3" s="31" t="s">
        <v>168</v>
      </c>
      <c r="B3" s="36" t="s">
        <v>4</v>
      </c>
      <c r="C3" s="33" t="s">
        <v>168</v>
      </c>
      <c r="D3" s="38" t="s">
        <v>4</v>
      </c>
    </row>
    <row r="4" spans="1:4" x14ac:dyDescent="0.25">
      <c r="A4" s="31" t="s">
        <v>226</v>
      </c>
      <c r="B4" s="36" t="s">
        <v>350</v>
      </c>
      <c r="C4" s="33" t="s">
        <v>226</v>
      </c>
      <c r="D4" s="38" t="s">
        <v>411</v>
      </c>
    </row>
    <row r="5" spans="1:4" x14ac:dyDescent="0.25">
      <c r="A5" s="31" t="s">
        <v>412</v>
      </c>
      <c r="B5" s="36" t="s">
        <v>177</v>
      </c>
      <c r="C5" s="33" t="s">
        <v>412</v>
      </c>
      <c r="D5" s="38" t="s">
        <v>177</v>
      </c>
    </row>
    <row r="6" spans="1:4" x14ac:dyDescent="0.25">
      <c r="A6" s="31" t="s">
        <v>417</v>
      </c>
      <c r="B6" s="36" t="s">
        <v>443</v>
      </c>
      <c r="C6" s="33" t="s">
        <v>414</v>
      </c>
      <c r="D6" s="38" t="s">
        <v>415</v>
      </c>
    </row>
    <row r="7" spans="1:4" x14ac:dyDescent="0.25">
      <c r="A7" s="31" t="s">
        <v>413</v>
      </c>
      <c r="B7" s="36">
        <v>2</v>
      </c>
      <c r="C7" s="33" t="s">
        <v>413</v>
      </c>
      <c r="D7" s="38">
        <v>10</v>
      </c>
    </row>
    <row r="8" spans="1:4" ht="15.75" thickBot="1" x14ac:dyDescent="0.3">
      <c r="A8" s="32" t="s">
        <v>414</v>
      </c>
      <c r="B8" s="37" t="s">
        <v>443</v>
      </c>
      <c r="C8" s="34" t="s">
        <v>417</v>
      </c>
      <c r="D8" s="39" t="s">
        <v>416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53"/>
  <sheetViews>
    <sheetView workbookViewId="0">
      <selection activeCell="B19" sqref="B19"/>
    </sheetView>
  </sheetViews>
  <sheetFormatPr defaultRowHeight="15" x14ac:dyDescent="0.25"/>
  <cols>
    <col min="1" max="1" width="28.7109375" customWidth="1"/>
    <col min="2" max="2" width="38.7109375" customWidth="1"/>
    <col min="3" max="3" width="36.7109375" customWidth="1"/>
    <col min="4" max="4" width="14.5703125" customWidth="1"/>
  </cols>
  <sheetData>
    <row r="1" spans="1:4" x14ac:dyDescent="0.25">
      <c r="A1" s="118" t="s">
        <v>0</v>
      </c>
      <c r="B1" s="118"/>
      <c r="C1" s="118" t="s">
        <v>171</v>
      </c>
      <c r="D1" s="118"/>
    </row>
    <row r="2" spans="1:4" x14ac:dyDescent="0.25">
      <c r="A2" s="29"/>
      <c r="B2" s="30"/>
      <c r="C2" s="29" t="s">
        <v>172</v>
      </c>
      <c r="D2" s="30" t="s">
        <v>59</v>
      </c>
    </row>
    <row r="3" spans="1:4" x14ac:dyDescent="0.25">
      <c r="A3" s="20" t="s">
        <v>173</v>
      </c>
      <c r="B3" s="19" t="s">
        <v>4</v>
      </c>
      <c r="C3" s="20" t="s">
        <v>174</v>
      </c>
      <c r="D3" s="19" t="s">
        <v>175</v>
      </c>
    </row>
    <row r="4" spans="1:4" x14ac:dyDescent="0.25">
      <c r="A4" s="20" t="s">
        <v>176</v>
      </c>
      <c r="B4" s="19" t="s">
        <v>177</v>
      </c>
      <c r="C4" s="20" t="s">
        <v>178</v>
      </c>
      <c r="D4" s="19" t="s">
        <v>175</v>
      </c>
    </row>
    <row r="5" spans="1:4" x14ac:dyDescent="0.25">
      <c r="A5" s="20" t="s">
        <v>179</v>
      </c>
      <c r="B5" s="19" t="s">
        <v>180</v>
      </c>
      <c r="C5" s="20" t="s">
        <v>181</v>
      </c>
      <c r="D5" s="19" t="s">
        <v>182</v>
      </c>
    </row>
    <row r="6" spans="1:4" x14ac:dyDescent="0.25">
      <c r="A6" s="20" t="s">
        <v>183</v>
      </c>
      <c r="B6" s="19" t="s">
        <v>184</v>
      </c>
      <c r="C6" s="20" t="s">
        <v>185</v>
      </c>
      <c r="D6" s="19" t="s">
        <v>175</v>
      </c>
    </row>
    <row r="7" spans="1:4" x14ac:dyDescent="0.25">
      <c r="A7" s="20" t="s">
        <v>186</v>
      </c>
      <c r="B7" s="19" t="s">
        <v>187</v>
      </c>
      <c r="C7" s="20" t="s">
        <v>188</v>
      </c>
      <c r="D7" s="19" t="s">
        <v>189</v>
      </c>
    </row>
    <row r="8" spans="1:4" x14ac:dyDescent="0.25">
      <c r="A8" s="20" t="s">
        <v>433</v>
      </c>
      <c r="B8" s="19">
        <v>4</v>
      </c>
      <c r="C8" s="20" t="s">
        <v>191</v>
      </c>
      <c r="D8" s="19" t="s">
        <v>192</v>
      </c>
    </row>
    <row r="9" spans="1:4" x14ac:dyDescent="0.25">
      <c r="A9" s="79" t="s">
        <v>434</v>
      </c>
      <c r="B9" s="19">
        <v>5901</v>
      </c>
      <c r="C9" s="20"/>
      <c r="D9" s="19"/>
    </row>
    <row r="10" spans="1:4" x14ac:dyDescent="0.25">
      <c r="A10" s="20" t="s">
        <v>435</v>
      </c>
      <c r="B10" s="19" t="s">
        <v>170</v>
      </c>
      <c r="C10" s="20"/>
      <c r="D10" s="19"/>
    </row>
    <row r="11" spans="1:4" x14ac:dyDescent="0.25">
      <c r="A11" s="20" t="s">
        <v>190</v>
      </c>
      <c r="B11" s="19" t="s">
        <v>4</v>
      </c>
      <c r="C11" s="20"/>
      <c r="D11" s="19"/>
    </row>
    <row r="12" spans="1:4" x14ac:dyDescent="0.25">
      <c r="A12" s="20" t="s">
        <v>193</v>
      </c>
      <c r="B12" s="18" t="s">
        <v>194</v>
      </c>
      <c r="C12" s="20"/>
      <c r="D12" s="18"/>
    </row>
    <row r="13" spans="1:4" x14ac:dyDescent="0.25">
      <c r="A13" s="20" t="s">
        <v>195</v>
      </c>
      <c r="B13" s="19" t="s">
        <v>196</v>
      </c>
      <c r="C13" s="20"/>
      <c r="D13" s="18"/>
    </row>
    <row r="14" spans="1:4" x14ac:dyDescent="0.25">
      <c r="A14" s="20" t="s">
        <v>197</v>
      </c>
      <c r="B14" s="19" t="s">
        <v>194</v>
      </c>
      <c r="C14" s="20"/>
      <c r="D14" s="18"/>
    </row>
    <row r="15" spans="1:4" x14ac:dyDescent="0.25">
      <c r="A15" s="20" t="s">
        <v>198</v>
      </c>
      <c r="B15" s="19" t="s">
        <v>199</v>
      </c>
      <c r="C15" s="20"/>
      <c r="D15" s="18"/>
    </row>
    <row r="16" spans="1:4" x14ac:dyDescent="0.25">
      <c r="A16" s="20" t="s">
        <v>200</v>
      </c>
      <c r="B16" s="19" t="s">
        <v>201</v>
      </c>
      <c r="C16" s="20"/>
      <c r="D16" s="18"/>
    </row>
    <row r="17" spans="1:4" x14ac:dyDescent="0.25">
      <c r="A17" s="20" t="s">
        <v>202</v>
      </c>
      <c r="B17" s="19" t="s">
        <v>203</v>
      </c>
      <c r="C17" s="20"/>
      <c r="D17" s="18"/>
    </row>
    <row r="18" spans="1:4" x14ac:dyDescent="0.25">
      <c r="A18" s="20" t="s">
        <v>431</v>
      </c>
      <c r="B18" s="19" t="s">
        <v>430</v>
      </c>
      <c r="C18" s="20"/>
      <c r="D18" s="18"/>
    </row>
    <row r="19" spans="1:4" x14ac:dyDescent="0.25">
      <c r="A19" s="20" t="s">
        <v>442</v>
      </c>
      <c r="B19" s="19" t="s">
        <v>41</v>
      </c>
      <c r="C19" s="20"/>
      <c r="D19" s="18"/>
    </row>
    <row r="20" spans="1:4" x14ac:dyDescent="0.25">
      <c r="A20" s="15"/>
      <c r="B20" s="15"/>
      <c r="C20" s="15"/>
      <c r="D20" s="15"/>
    </row>
    <row r="21" spans="1:4" x14ac:dyDescent="0.25">
      <c r="A21" s="15"/>
      <c r="B21" s="17"/>
      <c r="C21" s="15"/>
      <c r="D21" s="15"/>
    </row>
    <row r="22" spans="1:4" x14ac:dyDescent="0.25">
      <c r="A22" s="15"/>
      <c r="B22" s="15"/>
      <c r="C22" s="15"/>
      <c r="D22" s="15"/>
    </row>
    <row r="23" spans="1:4" x14ac:dyDescent="0.25">
      <c r="A23" s="15"/>
      <c r="B23" s="15"/>
      <c r="C23" s="15"/>
      <c r="D23" s="15"/>
    </row>
    <row r="24" spans="1:4" x14ac:dyDescent="0.25">
      <c r="A24" s="15"/>
      <c r="B24" s="16"/>
      <c r="C24" s="15"/>
      <c r="D24" s="15"/>
    </row>
    <row r="25" spans="1:4" x14ac:dyDescent="0.25">
      <c r="A25" s="15"/>
      <c r="B25" s="16"/>
      <c r="C25" s="15"/>
      <c r="D25" s="15"/>
    </row>
    <row r="26" spans="1:4" x14ac:dyDescent="0.25">
      <c r="A26" s="15"/>
      <c r="B26" s="16"/>
      <c r="C26" s="15"/>
      <c r="D26" s="15"/>
    </row>
    <row r="27" spans="1:4" x14ac:dyDescent="0.25">
      <c r="A27" s="15"/>
      <c r="B27" s="16"/>
      <c r="C27" s="15"/>
      <c r="D27" s="15"/>
    </row>
    <row r="28" spans="1:4" x14ac:dyDescent="0.25">
      <c r="A28" s="15"/>
      <c r="B28" s="16"/>
      <c r="C28" s="15"/>
      <c r="D28" s="15"/>
    </row>
    <row r="29" spans="1:4" x14ac:dyDescent="0.25">
      <c r="A29" s="15"/>
      <c r="B29" s="16"/>
      <c r="C29" s="15"/>
      <c r="D29" s="15"/>
    </row>
    <row r="30" spans="1:4" x14ac:dyDescent="0.25">
      <c r="A30" s="15"/>
      <c r="B30" s="16"/>
      <c r="C30" s="15"/>
      <c r="D30" s="15"/>
    </row>
    <row r="31" spans="1:4" x14ac:dyDescent="0.25">
      <c r="A31" s="15"/>
      <c r="B31" s="16"/>
      <c r="C31" s="15"/>
      <c r="D31" s="15"/>
    </row>
    <row r="32" spans="1:4" x14ac:dyDescent="0.25">
      <c r="A32" s="15"/>
      <c r="B32" s="16"/>
      <c r="C32" s="15"/>
      <c r="D32" s="15"/>
    </row>
    <row r="33" spans="1:4" x14ac:dyDescent="0.25">
      <c r="A33" s="15"/>
      <c r="B33" s="16"/>
      <c r="C33" s="15"/>
      <c r="D33" s="15"/>
    </row>
    <row r="34" spans="1:4" x14ac:dyDescent="0.25">
      <c r="A34" s="15"/>
      <c r="B34" s="16"/>
      <c r="C34" s="15"/>
      <c r="D34" s="15"/>
    </row>
    <row r="35" spans="1:4" x14ac:dyDescent="0.25">
      <c r="A35" s="15"/>
      <c r="B35" s="16"/>
      <c r="C35" s="15"/>
      <c r="D35" s="15"/>
    </row>
    <row r="36" spans="1:4" x14ac:dyDescent="0.25">
      <c r="A36" s="15"/>
      <c r="B36" s="16"/>
      <c r="C36" s="15"/>
      <c r="D36" s="15"/>
    </row>
    <row r="37" spans="1:4" x14ac:dyDescent="0.25">
      <c r="A37" s="15"/>
      <c r="B37" s="16"/>
      <c r="C37" s="15"/>
      <c r="D37" s="15"/>
    </row>
    <row r="38" spans="1:4" x14ac:dyDescent="0.25">
      <c r="A38" s="15"/>
      <c r="B38" s="16"/>
      <c r="C38" s="15"/>
      <c r="D38" s="15"/>
    </row>
    <row r="39" spans="1:4" x14ac:dyDescent="0.25">
      <c r="A39" s="15"/>
      <c r="B39" s="16"/>
      <c r="C39" s="15"/>
      <c r="D39" s="15"/>
    </row>
    <row r="40" spans="1:4" x14ac:dyDescent="0.25">
      <c r="A40" s="15"/>
      <c r="B40" s="16"/>
      <c r="C40" s="15"/>
      <c r="D40" s="15"/>
    </row>
    <row r="41" spans="1:4" x14ac:dyDescent="0.25">
      <c r="A41" s="15"/>
      <c r="B41" s="16"/>
      <c r="C41" s="15"/>
      <c r="D41" s="15"/>
    </row>
    <row r="42" spans="1:4" x14ac:dyDescent="0.25">
      <c r="A42" s="15"/>
      <c r="B42" s="16"/>
      <c r="C42" s="15"/>
      <c r="D42" s="15"/>
    </row>
    <row r="43" spans="1:4" x14ac:dyDescent="0.25">
      <c r="A43" s="15"/>
      <c r="B43" s="16"/>
      <c r="C43" s="15"/>
      <c r="D43" s="15"/>
    </row>
    <row r="44" spans="1:4" x14ac:dyDescent="0.25">
      <c r="A44" s="15"/>
      <c r="B44" s="16"/>
      <c r="C44" s="15"/>
      <c r="D44" s="15"/>
    </row>
    <row r="45" spans="1:4" x14ac:dyDescent="0.25">
      <c r="A45" s="15"/>
      <c r="B45" s="16"/>
      <c r="C45" s="15"/>
      <c r="D45" s="15"/>
    </row>
    <row r="46" spans="1:4" x14ac:dyDescent="0.25">
      <c r="A46" s="15"/>
      <c r="B46" s="16"/>
      <c r="C46" s="15"/>
      <c r="D46" s="15"/>
    </row>
    <row r="47" spans="1:4" x14ac:dyDescent="0.25">
      <c r="A47" s="15"/>
      <c r="B47" s="16"/>
      <c r="C47" s="15"/>
      <c r="D47" s="15"/>
    </row>
    <row r="48" spans="1:4" x14ac:dyDescent="0.25">
      <c r="A48" s="15"/>
      <c r="B48" s="16"/>
      <c r="C48" s="15"/>
      <c r="D48" s="15"/>
    </row>
    <row r="49" spans="1:4" x14ac:dyDescent="0.25">
      <c r="A49" s="15"/>
      <c r="B49" s="16"/>
      <c r="C49" s="15"/>
      <c r="D49" s="15"/>
    </row>
    <row r="50" spans="1:4" x14ac:dyDescent="0.25">
      <c r="A50" s="15"/>
      <c r="B50" s="16"/>
      <c r="C50" s="15"/>
      <c r="D50" s="15"/>
    </row>
    <row r="51" spans="1:4" x14ac:dyDescent="0.25">
      <c r="A51" s="15"/>
      <c r="B51" s="16"/>
      <c r="C51" s="15"/>
      <c r="D51" s="15"/>
    </row>
    <row r="52" spans="1:4" x14ac:dyDescent="0.25">
      <c r="A52" s="15"/>
      <c r="B52" s="16"/>
      <c r="C52" s="15"/>
      <c r="D52" s="15"/>
    </row>
    <row r="53" spans="1:4" x14ac:dyDescent="0.25">
      <c r="A53" s="15"/>
      <c r="B53" s="16"/>
      <c r="C53" s="15"/>
      <c r="D53" s="15"/>
    </row>
  </sheetData>
  <mergeCells count="2">
    <mergeCell ref="A1:B1"/>
    <mergeCell ref="C1:D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67"/>
  <sheetViews>
    <sheetView zoomScaleNormal="100" workbookViewId="0">
      <selection activeCell="F41" sqref="F41"/>
    </sheetView>
  </sheetViews>
  <sheetFormatPr defaultRowHeight="15" x14ac:dyDescent="0.25"/>
  <cols>
    <col min="1" max="1" width="34.140625" customWidth="1"/>
    <col min="2" max="2" width="40.140625" bestFit="1" customWidth="1"/>
    <col min="5" max="5" width="20.42578125" bestFit="1" customWidth="1"/>
  </cols>
  <sheetData>
    <row r="1" spans="1:2" x14ac:dyDescent="0.25">
      <c r="A1" s="25" t="s">
        <v>239</v>
      </c>
      <c r="B1" s="26"/>
    </row>
    <row r="2" spans="1:2" x14ac:dyDescent="0.25">
      <c r="A2" s="21" t="s">
        <v>240</v>
      </c>
      <c r="B2" s="19"/>
    </row>
    <row r="3" spans="1:2" x14ac:dyDescent="0.25">
      <c r="A3" s="21" t="s">
        <v>241</v>
      </c>
      <c r="B3" s="19" t="s">
        <v>242</v>
      </c>
    </row>
    <row r="4" spans="1:2" x14ac:dyDescent="0.25">
      <c r="A4" s="21" t="s">
        <v>243</v>
      </c>
      <c r="B4" s="19">
        <v>20</v>
      </c>
    </row>
    <row r="5" spans="1:2" x14ac:dyDescent="0.25">
      <c r="A5" s="21" t="s">
        <v>244</v>
      </c>
      <c r="B5" s="19">
        <v>10</v>
      </c>
    </row>
    <row r="6" spans="1:2" x14ac:dyDescent="0.25">
      <c r="A6" s="21" t="s">
        <v>245</v>
      </c>
      <c r="B6" s="19">
        <v>50</v>
      </c>
    </row>
    <row r="7" spans="1:2" x14ac:dyDescent="0.25">
      <c r="A7" s="21" t="s">
        <v>246</v>
      </c>
      <c r="B7" s="27" t="s">
        <v>247</v>
      </c>
    </row>
    <row r="8" spans="1:2" x14ac:dyDescent="0.25">
      <c r="A8" s="21" t="s">
        <v>248</v>
      </c>
      <c r="B8" s="19">
        <v>110</v>
      </c>
    </row>
    <row r="9" spans="1:2" x14ac:dyDescent="0.25">
      <c r="A9" s="21"/>
      <c r="B9" s="19"/>
    </row>
    <row r="10" spans="1:2" x14ac:dyDescent="0.25">
      <c r="A10" s="25" t="s">
        <v>249</v>
      </c>
      <c r="B10" s="28"/>
    </row>
    <row r="11" spans="1:2" x14ac:dyDescent="0.25">
      <c r="A11" s="21" t="s">
        <v>250</v>
      </c>
      <c r="B11" s="19" t="s">
        <v>251</v>
      </c>
    </row>
    <row r="12" spans="1:2" x14ac:dyDescent="0.25">
      <c r="A12" s="21" t="s">
        <v>252</v>
      </c>
      <c r="B12" s="19"/>
    </row>
    <row r="13" spans="1:2" x14ac:dyDescent="0.25">
      <c r="A13" s="21" t="s">
        <v>253</v>
      </c>
      <c r="B13" s="19">
        <v>1500</v>
      </c>
    </row>
    <row r="14" spans="1:2" x14ac:dyDescent="0.25">
      <c r="A14" s="21" t="s">
        <v>254</v>
      </c>
      <c r="B14" s="19" t="s">
        <v>166</v>
      </c>
    </row>
    <row r="15" spans="1:2" x14ac:dyDescent="0.25">
      <c r="A15" s="21"/>
      <c r="B15" s="19"/>
    </row>
    <row r="16" spans="1:2" x14ac:dyDescent="0.25">
      <c r="A16" s="25" t="s">
        <v>255</v>
      </c>
      <c r="B16" s="28"/>
    </row>
    <row r="17" spans="1:2" x14ac:dyDescent="0.25">
      <c r="A17" s="21" t="s">
        <v>250</v>
      </c>
      <c r="B17" s="19" t="s">
        <v>251</v>
      </c>
    </row>
    <row r="18" spans="1:2" x14ac:dyDescent="0.25">
      <c r="A18" s="21" t="s">
        <v>252</v>
      </c>
      <c r="B18" s="19"/>
    </row>
    <row r="19" spans="1:2" x14ac:dyDescent="0.25">
      <c r="A19" s="21" t="s">
        <v>253</v>
      </c>
      <c r="B19" s="19">
        <v>1500</v>
      </c>
    </row>
    <row r="20" spans="1:2" x14ac:dyDescent="0.25">
      <c r="A20" s="21" t="s">
        <v>254</v>
      </c>
      <c r="B20" s="19" t="s">
        <v>165</v>
      </c>
    </row>
    <row r="21" spans="1:2" x14ac:dyDescent="0.25">
      <c r="A21" s="21"/>
      <c r="B21" s="19"/>
    </row>
    <row r="22" spans="1:2" x14ac:dyDescent="0.25">
      <c r="A22" s="25" t="s">
        <v>256</v>
      </c>
      <c r="B22" s="28"/>
    </row>
    <row r="23" spans="1:2" x14ac:dyDescent="0.25">
      <c r="A23" s="21" t="s">
        <v>257</v>
      </c>
      <c r="B23" s="19"/>
    </row>
    <row r="24" spans="1:2" x14ac:dyDescent="0.25">
      <c r="A24" s="21" t="s">
        <v>258</v>
      </c>
      <c r="B24" s="27" t="s">
        <v>259</v>
      </c>
    </row>
    <row r="25" spans="1:2" x14ac:dyDescent="0.25">
      <c r="A25" s="21" t="s">
        <v>260</v>
      </c>
      <c r="B25" s="19" t="s">
        <v>261</v>
      </c>
    </row>
    <row r="26" spans="1:2" x14ac:dyDescent="0.25">
      <c r="A26" s="21" t="s">
        <v>262</v>
      </c>
      <c r="B26" s="19" t="s">
        <v>263</v>
      </c>
    </row>
    <row r="27" spans="1:2" x14ac:dyDescent="0.25">
      <c r="A27" s="21" t="s">
        <v>264</v>
      </c>
      <c r="B27" s="19" t="s">
        <v>265</v>
      </c>
    </row>
    <row r="28" spans="1:2" x14ac:dyDescent="0.25">
      <c r="A28" s="21" t="s">
        <v>266</v>
      </c>
      <c r="B28" s="19" t="s">
        <v>267</v>
      </c>
    </row>
    <row r="29" spans="1:2" x14ac:dyDescent="0.25">
      <c r="A29" s="21" t="s">
        <v>268</v>
      </c>
      <c r="B29" s="19" t="s">
        <v>269</v>
      </c>
    </row>
    <row r="30" spans="1:2" x14ac:dyDescent="0.25">
      <c r="A30" s="21"/>
      <c r="B30" s="19"/>
    </row>
    <row r="31" spans="1:2" x14ac:dyDescent="0.25">
      <c r="A31" s="25" t="s">
        <v>270</v>
      </c>
      <c r="B31" s="28"/>
    </row>
    <row r="32" spans="1:2" x14ac:dyDescent="0.25">
      <c r="A32" s="21" t="s">
        <v>271</v>
      </c>
      <c r="B32" s="19"/>
    </row>
    <row r="33" spans="1:2" x14ac:dyDescent="0.25">
      <c r="A33" s="21"/>
      <c r="B33" s="19"/>
    </row>
    <row r="34" spans="1:2" x14ac:dyDescent="0.25">
      <c r="A34" s="25" t="s">
        <v>272</v>
      </c>
      <c r="B34" s="28"/>
    </row>
    <row r="35" spans="1:2" x14ac:dyDescent="0.25">
      <c r="A35" s="21" t="s">
        <v>273</v>
      </c>
      <c r="B35" s="19"/>
    </row>
    <row r="36" spans="1:2" x14ac:dyDescent="0.25">
      <c r="A36" s="21" t="s">
        <v>258</v>
      </c>
      <c r="B36" s="27" t="s">
        <v>274</v>
      </c>
    </row>
    <row r="37" spans="1:2" x14ac:dyDescent="0.25">
      <c r="A37" s="21" t="s">
        <v>154</v>
      </c>
      <c r="B37" s="27" t="s">
        <v>161</v>
      </c>
    </row>
    <row r="38" spans="1:2" x14ac:dyDescent="0.25">
      <c r="A38" s="21" t="s">
        <v>275</v>
      </c>
      <c r="B38" s="27" t="s">
        <v>276</v>
      </c>
    </row>
    <row r="39" spans="1:2" x14ac:dyDescent="0.25">
      <c r="A39" s="21" t="s">
        <v>277</v>
      </c>
      <c r="B39" s="27" t="s">
        <v>160</v>
      </c>
    </row>
    <row r="40" spans="1:2" x14ac:dyDescent="0.25">
      <c r="A40" s="21" t="s">
        <v>278</v>
      </c>
      <c r="B40" s="27" t="s">
        <v>279</v>
      </c>
    </row>
    <row r="41" spans="1:2" x14ac:dyDescent="0.25">
      <c r="A41" s="21" t="s">
        <v>268</v>
      </c>
      <c r="B41" s="19" t="s">
        <v>280</v>
      </c>
    </row>
    <row r="42" spans="1:2" x14ac:dyDescent="0.25">
      <c r="A42" s="21"/>
      <c r="B42" s="19"/>
    </row>
    <row r="43" spans="1:2" x14ac:dyDescent="0.25">
      <c r="A43" s="25" t="s">
        <v>281</v>
      </c>
      <c r="B43" s="28"/>
    </row>
    <row r="44" spans="1:2" x14ac:dyDescent="0.25">
      <c r="A44" s="21" t="s">
        <v>282</v>
      </c>
      <c r="B44" s="19"/>
    </row>
    <row r="45" spans="1:2" x14ac:dyDescent="0.25">
      <c r="A45" s="21" t="s">
        <v>283</v>
      </c>
      <c r="B45" s="19" t="s">
        <v>284</v>
      </c>
    </row>
    <row r="46" spans="1:2" x14ac:dyDescent="0.25">
      <c r="A46" s="21" t="s">
        <v>285</v>
      </c>
      <c r="B46" s="19" t="s">
        <v>163</v>
      </c>
    </row>
    <row r="47" spans="1:2" x14ac:dyDescent="0.25">
      <c r="A47" s="21" t="s">
        <v>286</v>
      </c>
      <c r="B47" s="19" t="s">
        <v>164</v>
      </c>
    </row>
    <row r="48" spans="1:2" x14ac:dyDescent="0.25">
      <c r="A48" s="21"/>
      <c r="B48" s="19"/>
    </row>
    <row r="49" spans="1:2" x14ac:dyDescent="0.25">
      <c r="A49" s="25" t="s">
        <v>287</v>
      </c>
      <c r="B49" s="28"/>
    </row>
    <row r="50" spans="1:2" x14ac:dyDescent="0.25">
      <c r="A50" s="21" t="s">
        <v>288</v>
      </c>
      <c r="B50" s="19"/>
    </row>
    <row r="51" spans="1:2" x14ac:dyDescent="0.25">
      <c r="A51" s="21" t="s">
        <v>289</v>
      </c>
      <c r="B51" s="19" t="s">
        <v>290</v>
      </c>
    </row>
    <row r="52" spans="1:2" x14ac:dyDescent="0.25">
      <c r="A52" s="21" t="s">
        <v>291</v>
      </c>
      <c r="B52" s="19" t="s">
        <v>292</v>
      </c>
    </row>
    <row r="53" spans="1:2" x14ac:dyDescent="0.25">
      <c r="A53" s="21" t="s">
        <v>293</v>
      </c>
      <c r="B53" s="19" t="s">
        <v>294</v>
      </c>
    </row>
    <row r="54" spans="1:2" x14ac:dyDescent="0.25">
      <c r="A54" s="21"/>
      <c r="B54" s="19"/>
    </row>
    <row r="55" spans="1:2" x14ac:dyDescent="0.25">
      <c r="A55" s="25" t="s">
        <v>295</v>
      </c>
      <c r="B55" s="28"/>
    </row>
    <row r="56" spans="1:2" x14ac:dyDescent="0.25">
      <c r="A56" s="21" t="s">
        <v>296</v>
      </c>
      <c r="B56" s="27" t="s">
        <v>297</v>
      </c>
    </row>
    <row r="57" spans="1:2" x14ac:dyDescent="0.25">
      <c r="A57" s="21"/>
      <c r="B57" s="19"/>
    </row>
    <row r="58" spans="1:2" x14ac:dyDescent="0.25">
      <c r="A58" s="25" t="s">
        <v>298</v>
      </c>
      <c r="B58" s="28"/>
    </row>
    <row r="59" spans="1:2" x14ac:dyDescent="0.25">
      <c r="A59" s="21" t="s">
        <v>299</v>
      </c>
      <c r="B59" s="19" t="s">
        <v>251</v>
      </c>
    </row>
    <row r="60" spans="1:2" x14ac:dyDescent="0.25">
      <c r="A60" s="21" t="s">
        <v>300</v>
      </c>
      <c r="B60" s="19" t="s">
        <v>301</v>
      </c>
    </row>
    <row r="61" spans="1:2" x14ac:dyDescent="0.25">
      <c r="A61" s="21" t="s">
        <v>302</v>
      </c>
      <c r="B61" s="19">
        <v>45</v>
      </c>
    </row>
    <row r="62" spans="1:2" x14ac:dyDescent="0.25">
      <c r="A62" s="21"/>
      <c r="B62" s="19"/>
    </row>
    <row r="63" spans="1:2" x14ac:dyDescent="0.25">
      <c r="A63" s="25" t="s">
        <v>303</v>
      </c>
      <c r="B63" s="28"/>
    </row>
    <row r="64" spans="1:2" x14ac:dyDescent="0.25">
      <c r="A64" s="21" t="s">
        <v>304</v>
      </c>
      <c r="B64" s="19" t="s">
        <v>24</v>
      </c>
    </row>
    <row r="65" spans="1:2" x14ac:dyDescent="0.25">
      <c r="A65" s="21"/>
      <c r="B65" s="19"/>
    </row>
    <row r="66" spans="1:2" x14ac:dyDescent="0.25">
      <c r="A66" s="25" t="s">
        <v>305</v>
      </c>
      <c r="B66" s="28"/>
    </row>
    <row r="67" spans="1:2" x14ac:dyDescent="0.25">
      <c r="A67" s="21" t="s">
        <v>306</v>
      </c>
      <c r="B67" s="19">
        <v>17.059999999999999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M467"/>
  <sheetViews>
    <sheetView zoomScaleNormal="100" workbookViewId="0">
      <selection activeCell="C8" sqref="A1:D8"/>
    </sheetView>
  </sheetViews>
  <sheetFormatPr defaultRowHeight="15" x14ac:dyDescent="0.25"/>
  <cols>
    <col min="1" max="1" width="25.140625" style="5" customWidth="1"/>
    <col min="2" max="2" width="13" style="6" customWidth="1"/>
    <col min="3" max="3" width="21.140625" style="4" customWidth="1"/>
    <col min="4" max="4" width="17.28515625" style="7" customWidth="1"/>
    <col min="5" max="5" width="28.5703125" style="5" customWidth="1"/>
    <col min="6" max="6" width="19.5703125" style="8" customWidth="1"/>
    <col min="7" max="7" width="21" style="5" customWidth="1"/>
    <col min="8" max="8" width="19.140625" style="8" customWidth="1"/>
  </cols>
  <sheetData>
    <row r="1" spans="1:13" s="11" customFormat="1" x14ac:dyDescent="0.25">
      <c r="A1" s="119" t="s">
        <v>204</v>
      </c>
      <c r="B1" s="119"/>
      <c r="C1" s="119" t="s">
        <v>205</v>
      </c>
      <c r="D1" s="119"/>
      <c r="E1" s="119" t="s">
        <v>206</v>
      </c>
      <c r="F1" s="119"/>
      <c r="G1" s="119" t="s">
        <v>207</v>
      </c>
      <c r="H1" s="120"/>
      <c r="I1" s="9"/>
      <c r="J1" s="9"/>
      <c r="K1" s="9"/>
      <c r="L1" s="9"/>
      <c r="M1" s="9"/>
    </row>
    <row r="2" spans="1:13" x14ac:dyDescent="0.25">
      <c r="A2" s="35" t="s">
        <v>208</v>
      </c>
      <c r="B2" s="46" t="s">
        <v>209</v>
      </c>
      <c r="C2" s="35" t="s">
        <v>210</v>
      </c>
      <c r="D2" s="46" t="s">
        <v>211</v>
      </c>
      <c r="E2" s="35" t="s">
        <v>212</v>
      </c>
      <c r="F2" s="46" t="s">
        <v>213</v>
      </c>
      <c r="G2" s="35" t="s">
        <v>214</v>
      </c>
      <c r="H2" s="45" t="s">
        <v>215</v>
      </c>
      <c r="I2" s="9"/>
      <c r="J2" s="9"/>
      <c r="K2" s="9"/>
      <c r="L2" s="9"/>
      <c r="M2" s="9"/>
    </row>
    <row r="3" spans="1:13" x14ac:dyDescent="0.25">
      <c r="A3" s="35" t="s">
        <v>216</v>
      </c>
      <c r="B3" s="46" t="s">
        <v>217</v>
      </c>
      <c r="C3" s="35" t="s">
        <v>218</v>
      </c>
      <c r="D3" s="46" t="s">
        <v>209</v>
      </c>
      <c r="E3" s="35" t="s">
        <v>219</v>
      </c>
      <c r="F3" s="46" t="s">
        <v>220</v>
      </c>
      <c r="G3" s="35" t="s">
        <v>221</v>
      </c>
      <c r="H3" s="45" t="s">
        <v>222</v>
      </c>
      <c r="I3" s="9"/>
      <c r="J3" s="9"/>
      <c r="K3" s="9"/>
      <c r="L3" s="9"/>
      <c r="M3" s="9"/>
    </row>
    <row r="4" spans="1:13" x14ac:dyDescent="0.25">
      <c r="A4" s="35" t="s">
        <v>223</v>
      </c>
      <c r="B4" s="46">
        <v>1500</v>
      </c>
      <c r="C4" s="35" t="s">
        <v>216</v>
      </c>
      <c r="D4" s="46" t="s">
        <v>224</v>
      </c>
      <c r="E4" s="35" t="s">
        <v>218</v>
      </c>
      <c r="F4" s="46" t="s">
        <v>209</v>
      </c>
      <c r="G4" s="35" t="s">
        <v>225</v>
      </c>
      <c r="H4" s="45">
        <v>4</v>
      </c>
      <c r="I4" s="9"/>
      <c r="J4" s="9"/>
      <c r="K4" s="9"/>
      <c r="L4" s="9"/>
      <c r="M4" s="9"/>
    </row>
    <row r="5" spans="1:13" x14ac:dyDescent="0.25">
      <c r="A5" s="35" t="s">
        <v>226</v>
      </c>
      <c r="B5" s="46" t="s">
        <v>220</v>
      </c>
      <c r="C5" s="35" t="s">
        <v>227</v>
      </c>
      <c r="D5" s="46" t="s">
        <v>228</v>
      </c>
      <c r="E5" s="35" t="s">
        <v>229</v>
      </c>
      <c r="F5" s="46">
        <v>511</v>
      </c>
      <c r="G5" s="35" t="s">
        <v>230</v>
      </c>
      <c r="H5" s="45" t="b">
        <v>1</v>
      </c>
      <c r="I5" s="9"/>
      <c r="J5" s="9"/>
      <c r="K5" s="9"/>
      <c r="L5" s="9"/>
      <c r="M5" s="9"/>
    </row>
    <row r="6" spans="1:13" x14ac:dyDescent="0.25">
      <c r="A6" s="35" t="s">
        <v>231</v>
      </c>
      <c r="B6" s="46" t="b">
        <v>0</v>
      </c>
      <c r="C6" s="35"/>
      <c r="D6" s="46"/>
      <c r="E6" s="35" t="s">
        <v>232</v>
      </c>
      <c r="F6" s="46" t="s">
        <v>233</v>
      </c>
      <c r="G6" s="35" t="s">
        <v>234</v>
      </c>
      <c r="H6" s="45" t="s">
        <v>235</v>
      </c>
      <c r="I6" s="9"/>
      <c r="J6" s="9"/>
      <c r="K6" s="9"/>
      <c r="L6" s="9"/>
      <c r="M6" s="9"/>
    </row>
    <row r="7" spans="1:13" x14ac:dyDescent="0.25">
      <c r="A7" s="35"/>
      <c r="B7" s="46"/>
      <c r="C7" s="35"/>
      <c r="D7" s="46"/>
      <c r="E7" s="35" t="s">
        <v>236</v>
      </c>
      <c r="F7" s="46" t="b">
        <v>1</v>
      </c>
      <c r="G7" s="35" t="s">
        <v>237</v>
      </c>
      <c r="H7" s="45" t="b">
        <v>1</v>
      </c>
      <c r="I7" s="9"/>
      <c r="J7" s="9"/>
      <c r="K7" s="9"/>
      <c r="L7" s="9"/>
      <c r="M7" s="9"/>
    </row>
    <row r="8" spans="1:13" x14ac:dyDescent="0.25">
      <c r="A8" s="35"/>
      <c r="B8" s="46"/>
      <c r="C8" s="35"/>
      <c r="D8" s="46"/>
      <c r="E8" s="35"/>
      <c r="F8" s="46"/>
      <c r="G8" s="35" t="s">
        <v>154</v>
      </c>
      <c r="H8" s="45" t="s">
        <v>238</v>
      </c>
      <c r="I8" s="9"/>
      <c r="J8" s="9"/>
      <c r="K8" s="9"/>
      <c r="L8" s="9"/>
      <c r="M8" s="9"/>
    </row>
    <row r="9" spans="1:13" s="14" customFormat="1" x14ac:dyDescent="0.25">
      <c r="A9" s="47"/>
      <c r="B9" s="48"/>
      <c r="C9" s="47"/>
      <c r="D9" s="48"/>
      <c r="E9" s="47"/>
      <c r="F9" s="48"/>
      <c r="G9" s="47"/>
      <c r="H9" s="49"/>
      <c r="I9" s="9"/>
      <c r="J9" s="9"/>
      <c r="K9" s="9"/>
      <c r="L9" s="9"/>
      <c r="M9" s="9"/>
    </row>
    <row r="10" spans="1:13" x14ac:dyDescent="0.25">
      <c r="A10" s="35" t="s">
        <v>208</v>
      </c>
      <c r="B10" s="46"/>
      <c r="C10" s="35" t="s">
        <v>210</v>
      </c>
      <c r="D10" s="46"/>
      <c r="E10" s="35" t="s">
        <v>212</v>
      </c>
      <c r="F10" s="46"/>
      <c r="G10" s="35" t="s">
        <v>214</v>
      </c>
      <c r="H10" s="45"/>
      <c r="I10" s="9"/>
      <c r="J10" s="9"/>
      <c r="K10" s="9"/>
      <c r="L10" s="9"/>
      <c r="M10" s="9"/>
    </row>
    <row r="11" spans="1:13" x14ac:dyDescent="0.25">
      <c r="A11" s="35" t="s">
        <v>216</v>
      </c>
      <c r="B11" s="46"/>
      <c r="C11" s="35" t="s">
        <v>218</v>
      </c>
      <c r="D11" s="46"/>
      <c r="E11" s="35" t="s">
        <v>219</v>
      </c>
      <c r="F11" s="46"/>
      <c r="G11" s="35" t="s">
        <v>221</v>
      </c>
      <c r="H11" s="45"/>
      <c r="I11" s="9"/>
      <c r="J11" s="9"/>
      <c r="K11" s="9"/>
      <c r="L11" s="9"/>
      <c r="M11" s="9"/>
    </row>
    <row r="12" spans="1:13" x14ac:dyDescent="0.25">
      <c r="A12" s="35" t="s">
        <v>223</v>
      </c>
      <c r="B12" s="46"/>
      <c r="C12" s="35" t="s">
        <v>216</v>
      </c>
      <c r="D12" s="46"/>
      <c r="E12" s="35" t="s">
        <v>218</v>
      </c>
      <c r="F12" s="46"/>
      <c r="G12" s="35" t="s">
        <v>225</v>
      </c>
      <c r="H12" s="45"/>
      <c r="I12" s="9"/>
      <c r="J12" s="9"/>
      <c r="K12" s="9"/>
      <c r="L12" s="9"/>
      <c r="M12" s="9"/>
    </row>
    <row r="13" spans="1:13" x14ac:dyDescent="0.25">
      <c r="A13" s="35" t="s">
        <v>226</v>
      </c>
      <c r="B13" s="46"/>
      <c r="C13" s="35" t="s">
        <v>227</v>
      </c>
      <c r="D13" s="46"/>
      <c r="E13" s="35" t="s">
        <v>229</v>
      </c>
      <c r="F13" s="46"/>
      <c r="G13" s="35" t="s">
        <v>230</v>
      </c>
      <c r="H13" s="45"/>
      <c r="I13" s="9"/>
      <c r="J13" s="9"/>
      <c r="K13" s="9"/>
      <c r="L13" s="9"/>
      <c r="M13" s="9"/>
    </row>
    <row r="14" spans="1:13" x14ac:dyDescent="0.25">
      <c r="A14" s="35" t="s">
        <v>231</v>
      </c>
      <c r="B14" s="46"/>
      <c r="C14" s="35"/>
      <c r="D14" s="46"/>
      <c r="E14" s="35" t="s">
        <v>232</v>
      </c>
      <c r="F14" s="46"/>
      <c r="G14" s="35" t="s">
        <v>234</v>
      </c>
      <c r="H14" s="45"/>
      <c r="I14" s="9"/>
      <c r="J14" s="9"/>
      <c r="K14" s="9"/>
      <c r="L14" s="9"/>
      <c r="M14" s="9"/>
    </row>
    <row r="15" spans="1:13" x14ac:dyDescent="0.25">
      <c r="A15" s="35"/>
      <c r="B15" s="46"/>
      <c r="C15" s="35"/>
      <c r="D15" s="46"/>
      <c r="E15" s="35" t="s">
        <v>236</v>
      </c>
      <c r="F15" s="46"/>
      <c r="G15" s="35" t="s">
        <v>237</v>
      </c>
      <c r="H15" s="45"/>
      <c r="I15" s="9"/>
      <c r="J15" s="9"/>
      <c r="K15" s="9"/>
      <c r="L15" s="9"/>
      <c r="M15" s="9"/>
    </row>
    <row r="16" spans="1:13" s="9" customFormat="1" x14ac:dyDescent="0.25">
      <c r="A16" s="35"/>
      <c r="B16" s="46"/>
      <c r="C16" s="35"/>
      <c r="D16" s="46"/>
      <c r="E16" s="35"/>
      <c r="F16" s="46"/>
      <c r="G16" s="35" t="s">
        <v>154</v>
      </c>
      <c r="H16" s="45"/>
    </row>
    <row r="17" spans="1:13" s="14" customFormat="1" x14ac:dyDescent="0.25">
      <c r="A17" s="47"/>
      <c r="B17" s="48"/>
      <c r="C17" s="47"/>
      <c r="D17" s="48"/>
      <c r="E17" s="47"/>
      <c r="F17" s="48"/>
      <c r="G17" s="47"/>
      <c r="H17" s="49"/>
      <c r="I17" s="9"/>
      <c r="J17" s="9"/>
      <c r="K17" s="9"/>
      <c r="L17" s="9"/>
      <c r="M17" s="9"/>
    </row>
    <row r="18" spans="1:13" s="9" customFormat="1" x14ac:dyDescent="0.25">
      <c r="A18" s="35" t="s">
        <v>208</v>
      </c>
      <c r="B18" s="46"/>
      <c r="C18" s="35" t="s">
        <v>210</v>
      </c>
      <c r="D18" s="46"/>
      <c r="E18" s="35" t="s">
        <v>212</v>
      </c>
      <c r="F18" s="46"/>
      <c r="G18" s="35" t="s">
        <v>214</v>
      </c>
      <c r="H18" s="46"/>
    </row>
    <row r="19" spans="1:13" s="9" customFormat="1" x14ac:dyDescent="0.25">
      <c r="A19" s="35" t="s">
        <v>216</v>
      </c>
      <c r="B19" s="46"/>
      <c r="C19" s="35" t="s">
        <v>218</v>
      </c>
      <c r="D19" s="46"/>
      <c r="E19" s="35" t="s">
        <v>219</v>
      </c>
      <c r="F19" s="46"/>
      <c r="G19" s="35" t="s">
        <v>221</v>
      </c>
      <c r="H19" s="46"/>
    </row>
    <row r="20" spans="1:13" s="9" customFormat="1" x14ac:dyDescent="0.25">
      <c r="A20" s="35" t="s">
        <v>223</v>
      </c>
      <c r="B20" s="46"/>
      <c r="C20" s="35" t="s">
        <v>216</v>
      </c>
      <c r="D20" s="46"/>
      <c r="E20" s="35" t="s">
        <v>218</v>
      </c>
      <c r="F20" s="46"/>
      <c r="G20" s="35" t="s">
        <v>225</v>
      </c>
      <c r="H20" s="46"/>
    </row>
    <row r="21" spans="1:13" s="9" customFormat="1" x14ac:dyDescent="0.25">
      <c r="A21" s="35" t="s">
        <v>226</v>
      </c>
      <c r="B21" s="46"/>
      <c r="C21" s="35" t="s">
        <v>227</v>
      </c>
      <c r="D21" s="46"/>
      <c r="E21" s="35" t="s">
        <v>229</v>
      </c>
      <c r="F21" s="46"/>
      <c r="G21" s="35" t="s">
        <v>230</v>
      </c>
      <c r="H21" s="46"/>
    </row>
    <row r="22" spans="1:13" s="9" customFormat="1" x14ac:dyDescent="0.25">
      <c r="A22" s="35" t="s">
        <v>231</v>
      </c>
      <c r="B22" s="46"/>
      <c r="C22" s="35"/>
      <c r="D22" s="46"/>
      <c r="E22" s="35" t="s">
        <v>232</v>
      </c>
      <c r="F22" s="46"/>
      <c r="G22" s="35" t="s">
        <v>234</v>
      </c>
      <c r="H22" s="46"/>
    </row>
    <row r="23" spans="1:13" s="9" customFormat="1" x14ac:dyDescent="0.25">
      <c r="A23" s="35"/>
      <c r="B23" s="46"/>
      <c r="C23" s="35"/>
      <c r="D23" s="46"/>
      <c r="E23" s="35" t="s">
        <v>236</v>
      </c>
      <c r="F23" s="46"/>
      <c r="G23" s="35" t="s">
        <v>237</v>
      </c>
      <c r="H23" s="46"/>
    </row>
    <row r="24" spans="1:13" s="9" customFormat="1" x14ac:dyDescent="0.25">
      <c r="A24" s="35"/>
      <c r="B24" s="46"/>
      <c r="C24" s="35"/>
      <c r="D24" s="46"/>
      <c r="E24" s="35"/>
      <c r="F24" s="46"/>
      <c r="G24" s="35" t="s">
        <v>154</v>
      </c>
      <c r="H24" s="46"/>
    </row>
    <row r="25" spans="1:13" s="14" customFormat="1" x14ac:dyDescent="0.25">
      <c r="A25" s="47"/>
      <c r="B25" s="48"/>
      <c r="C25" s="47"/>
      <c r="D25" s="48"/>
      <c r="E25" s="47"/>
      <c r="F25" s="48"/>
      <c r="G25" s="47"/>
      <c r="H25" s="49"/>
      <c r="I25" s="9"/>
      <c r="J25" s="9"/>
      <c r="K25" s="9"/>
      <c r="L25" s="9"/>
      <c r="M25" s="9"/>
    </row>
    <row r="26" spans="1:13" s="9" customFormat="1" x14ac:dyDescent="0.25">
      <c r="A26" s="35" t="s">
        <v>208</v>
      </c>
      <c r="B26" s="46"/>
      <c r="C26" s="35" t="s">
        <v>210</v>
      </c>
      <c r="D26" s="46"/>
      <c r="E26" s="35" t="s">
        <v>212</v>
      </c>
      <c r="F26" s="46"/>
      <c r="G26" s="35" t="s">
        <v>214</v>
      </c>
      <c r="H26" s="46"/>
    </row>
    <row r="27" spans="1:13" s="9" customFormat="1" x14ac:dyDescent="0.25">
      <c r="A27" s="35" t="s">
        <v>216</v>
      </c>
      <c r="B27" s="46"/>
      <c r="C27" s="35" t="s">
        <v>218</v>
      </c>
      <c r="D27" s="46"/>
      <c r="E27" s="35" t="s">
        <v>219</v>
      </c>
      <c r="F27" s="46"/>
      <c r="G27" s="35" t="s">
        <v>221</v>
      </c>
      <c r="H27" s="46"/>
    </row>
    <row r="28" spans="1:13" s="9" customFormat="1" x14ac:dyDescent="0.25">
      <c r="A28" s="35" t="s">
        <v>223</v>
      </c>
      <c r="B28" s="46"/>
      <c r="C28" s="35" t="s">
        <v>216</v>
      </c>
      <c r="D28" s="46"/>
      <c r="E28" s="35" t="s">
        <v>218</v>
      </c>
      <c r="F28" s="46"/>
      <c r="G28" s="35" t="s">
        <v>225</v>
      </c>
      <c r="H28" s="46"/>
    </row>
    <row r="29" spans="1:13" s="9" customFormat="1" x14ac:dyDescent="0.25">
      <c r="A29" s="35" t="s">
        <v>226</v>
      </c>
      <c r="B29" s="46"/>
      <c r="C29" s="35" t="s">
        <v>227</v>
      </c>
      <c r="D29" s="46"/>
      <c r="E29" s="35" t="s">
        <v>229</v>
      </c>
      <c r="F29" s="46"/>
      <c r="G29" s="35" t="s">
        <v>230</v>
      </c>
      <c r="H29" s="46"/>
    </row>
    <row r="30" spans="1:13" s="9" customFormat="1" x14ac:dyDescent="0.25">
      <c r="A30" s="35" t="s">
        <v>231</v>
      </c>
      <c r="B30" s="46"/>
      <c r="C30" s="35"/>
      <c r="D30" s="46"/>
      <c r="E30" s="35" t="s">
        <v>232</v>
      </c>
      <c r="F30" s="46"/>
      <c r="G30" s="35" t="s">
        <v>234</v>
      </c>
      <c r="H30" s="46"/>
    </row>
    <row r="31" spans="1:13" s="9" customFormat="1" x14ac:dyDescent="0.25">
      <c r="A31" s="35"/>
      <c r="B31" s="46"/>
      <c r="C31" s="35"/>
      <c r="D31" s="46"/>
      <c r="E31" s="35" t="s">
        <v>236</v>
      </c>
      <c r="F31" s="46"/>
      <c r="G31" s="35" t="s">
        <v>237</v>
      </c>
      <c r="H31" s="46"/>
    </row>
    <row r="32" spans="1:13" s="9" customFormat="1" x14ac:dyDescent="0.25">
      <c r="A32" s="35"/>
      <c r="B32" s="46"/>
      <c r="C32" s="35"/>
      <c r="D32" s="46"/>
      <c r="E32" s="35"/>
      <c r="F32" s="46"/>
      <c r="G32" s="35" t="s">
        <v>154</v>
      </c>
      <c r="H32" s="46"/>
    </row>
    <row r="33" spans="1:13" s="14" customFormat="1" x14ac:dyDescent="0.25">
      <c r="A33" s="47"/>
      <c r="B33" s="48"/>
      <c r="C33" s="47"/>
      <c r="D33" s="48"/>
      <c r="E33" s="47"/>
      <c r="F33" s="48"/>
      <c r="G33" s="47"/>
      <c r="H33" s="49"/>
      <c r="I33" s="9"/>
      <c r="J33" s="9"/>
      <c r="K33" s="9"/>
      <c r="L33" s="9"/>
      <c r="M33" s="9"/>
    </row>
    <row r="34" spans="1:13" s="9" customFormat="1" x14ac:dyDescent="0.25">
      <c r="A34" s="35" t="s">
        <v>208</v>
      </c>
      <c r="B34" s="46"/>
      <c r="C34" s="35" t="s">
        <v>210</v>
      </c>
      <c r="D34" s="46"/>
      <c r="E34" s="35" t="s">
        <v>212</v>
      </c>
      <c r="F34" s="46"/>
      <c r="G34" s="35" t="s">
        <v>214</v>
      </c>
      <c r="H34" s="46"/>
    </row>
    <row r="35" spans="1:13" s="9" customFormat="1" x14ac:dyDescent="0.25">
      <c r="A35" s="35" t="s">
        <v>216</v>
      </c>
      <c r="B35" s="46"/>
      <c r="C35" s="35" t="s">
        <v>218</v>
      </c>
      <c r="D35" s="46"/>
      <c r="E35" s="35" t="s">
        <v>219</v>
      </c>
      <c r="F35" s="46"/>
      <c r="G35" s="35" t="s">
        <v>221</v>
      </c>
      <c r="H35" s="46"/>
    </row>
    <row r="36" spans="1:13" s="9" customFormat="1" x14ac:dyDescent="0.25">
      <c r="A36" s="35" t="s">
        <v>223</v>
      </c>
      <c r="B36" s="46"/>
      <c r="C36" s="35" t="s">
        <v>216</v>
      </c>
      <c r="D36" s="46"/>
      <c r="E36" s="35" t="s">
        <v>218</v>
      </c>
      <c r="F36" s="46"/>
      <c r="G36" s="35" t="s">
        <v>225</v>
      </c>
      <c r="H36" s="46"/>
    </row>
    <row r="37" spans="1:13" s="9" customFormat="1" x14ac:dyDescent="0.25">
      <c r="A37" s="35" t="s">
        <v>226</v>
      </c>
      <c r="B37" s="46"/>
      <c r="C37" s="35" t="s">
        <v>227</v>
      </c>
      <c r="D37" s="46"/>
      <c r="E37" s="35" t="s">
        <v>229</v>
      </c>
      <c r="F37" s="46"/>
      <c r="G37" s="35" t="s">
        <v>230</v>
      </c>
      <c r="H37" s="46"/>
    </row>
    <row r="38" spans="1:13" s="9" customFormat="1" x14ac:dyDescent="0.25">
      <c r="A38" s="35" t="s">
        <v>231</v>
      </c>
      <c r="B38" s="46"/>
      <c r="C38" s="35"/>
      <c r="D38" s="46"/>
      <c r="E38" s="35" t="s">
        <v>232</v>
      </c>
      <c r="F38" s="46"/>
      <c r="G38" s="35" t="s">
        <v>234</v>
      </c>
      <c r="H38" s="46"/>
    </row>
    <row r="39" spans="1:13" s="9" customFormat="1" x14ac:dyDescent="0.25">
      <c r="A39" s="35"/>
      <c r="B39" s="46"/>
      <c r="C39" s="35"/>
      <c r="D39" s="46"/>
      <c r="E39" s="35" t="s">
        <v>236</v>
      </c>
      <c r="F39" s="46"/>
      <c r="G39" s="35" t="s">
        <v>237</v>
      </c>
      <c r="H39" s="46"/>
    </row>
    <row r="40" spans="1:13" s="9" customFormat="1" x14ac:dyDescent="0.25">
      <c r="A40" s="35"/>
      <c r="B40" s="46"/>
      <c r="C40" s="35"/>
      <c r="D40" s="46"/>
      <c r="E40" s="35"/>
      <c r="F40" s="46"/>
      <c r="G40" s="35" t="s">
        <v>154</v>
      </c>
      <c r="H40" s="46"/>
    </row>
    <row r="41" spans="1:13" s="14" customFormat="1" x14ac:dyDescent="0.25">
      <c r="A41" s="47"/>
      <c r="B41" s="48"/>
      <c r="C41" s="47"/>
      <c r="D41" s="48"/>
      <c r="E41" s="47"/>
      <c r="F41" s="48"/>
      <c r="G41" s="47"/>
      <c r="H41" s="49"/>
      <c r="I41" s="9"/>
      <c r="J41" s="9"/>
      <c r="K41" s="9"/>
      <c r="L41" s="9"/>
      <c r="M41" s="9"/>
    </row>
    <row r="42" spans="1:13" s="9" customFormat="1" x14ac:dyDescent="0.25">
      <c r="A42" s="35" t="s">
        <v>208</v>
      </c>
      <c r="B42" s="46"/>
      <c r="C42" s="35" t="s">
        <v>210</v>
      </c>
      <c r="D42" s="46"/>
      <c r="E42" s="35" t="s">
        <v>212</v>
      </c>
      <c r="F42" s="46"/>
      <c r="G42" s="35" t="s">
        <v>214</v>
      </c>
      <c r="H42" s="46"/>
    </row>
    <row r="43" spans="1:13" s="9" customFormat="1" x14ac:dyDescent="0.25">
      <c r="A43" s="35" t="s">
        <v>216</v>
      </c>
      <c r="B43" s="46"/>
      <c r="C43" s="35" t="s">
        <v>218</v>
      </c>
      <c r="D43" s="46"/>
      <c r="E43" s="35" t="s">
        <v>219</v>
      </c>
      <c r="F43" s="46"/>
      <c r="G43" s="35" t="s">
        <v>221</v>
      </c>
      <c r="H43" s="46"/>
    </row>
    <row r="44" spans="1:13" s="9" customFormat="1" x14ac:dyDescent="0.25">
      <c r="A44" s="35" t="s">
        <v>223</v>
      </c>
      <c r="B44" s="46"/>
      <c r="C44" s="35" t="s">
        <v>216</v>
      </c>
      <c r="D44" s="46"/>
      <c r="E44" s="35" t="s">
        <v>218</v>
      </c>
      <c r="F44" s="46"/>
      <c r="G44" s="35" t="s">
        <v>225</v>
      </c>
      <c r="H44" s="46"/>
    </row>
    <row r="45" spans="1:13" s="9" customFormat="1" x14ac:dyDescent="0.25">
      <c r="A45" s="35" t="s">
        <v>226</v>
      </c>
      <c r="B45" s="46"/>
      <c r="C45" s="35" t="s">
        <v>227</v>
      </c>
      <c r="D45" s="46"/>
      <c r="E45" s="35" t="s">
        <v>229</v>
      </c>
      <c r="F45" s="46"/>
      <c r="G45" s="35" t="s">
        <v>230</v>
      </c>
      <c r="H45" s="46"/>
    </row>
    <row r="46" spans="1:13" s="9" customFormat="1" x14ac:dyDescent="0.25">
      <c r="A46" s="35" t="s">
        <v>231</v>
      </c>
      <c r="B46" s="46"/>
      <c r="C46" s="35"/>
      <c r="D46" s="46"/>
      <c r="E46" s="35" t="s">
        <v>232</v>
      </c>
      <c r="F46" s="46"/>
      <c r="G46" s="35" t="s">
        <v>234</v>
      </c>
      <c r="H46" s="46"/>
    </row>
    <row r="47" spans="1:13" s="9" customFormat="1" x14ac:dyDescent="0.25">
      <c r="A47" s="35"/>
      <c r="B47" s="46"/>
      <c r="C47" s="35"/>
      <c r="D47" s="46"/>
      <c r="E47" s="35" t="s">
        <v>236</v>
      </c>
      <c r="F47" s="46"/>
      <c r="G47" s="35" t="s">
        <v>237</v>
      </c>
      <c r="H47" s="46"/>
    </row>
    <row r="48" spans="1:13" s="9" customFormat="1" x14ac:dyDescent="0.25">
      <c r="A48" s="35"/>
      <c r="B48" s="46"/>
      <c r="C48" s="35"/>
      <c r="D48" s="46"/>
      <c r="E48" s="35"/>
      <c r="F48" s="46"/>
      <c r="G48" s="35" t="s">
        <v>154</v>
      </c>
      <c r="H48" s="46"/>
    </row>
    <row r="49" spans="1:13" s="14" customFormat="1" x14ac:dyDescent="0.25">
      <c r="A49" s="47"/>
      <c r="B49" s="48"/>
      <c r="C49" s="47"/>
      <c r="D49" s="48"/>
      <c r="E49" s="47"/>
      <c r="F49" s="48"/>
      <c r="G49" s="47"/>
      <c r="H49" s="49"/>
      <c r="I49" s="9"/>
      <c r="J49" s="9"/>
      <c r="K49" s="9"/>
      <c r="L49" s="9"/>
      <c r="M49" s="9"/>
    </row>
    <row r="50" spans="1:13" s="9" customFormat="1" x14ac:dyDescent="0.25">
      <c r="A50" s="35" t="s">
        <v>208</v>
      </c>
      <c r="B50" s="46"/>
      <c r="C50" s="35" t="s">
        <v>210</v>
      </c>
      <c r="D50" s="46"/>
      <c r="E50" s="35" t="s">
        <v>212</v>
      </c>
      <c r="F50" s="46"/>
      <c r="G50" s="35" t="s">
        <v>214</v>
      </c>
      <c r="H50" s="46"/>
    </row>
    <row r="51" spans="1:13" s="9" customFormat="1" x14ac:dyDescent="0.25">
      <c r="A51" s="35" t="s">
        <v>216</v>
      </c>
      <c r="B51" s="46"/>
      <c r="C51" s="35" t="s">
        <v>218</v>
      </c>
      <c r="D51" s="46"/>
      <c r="E51" s="35" t="s">
        <v>219</v>
      </c>
      <c r="F51" s="46"/>
      <c r="G51" s="35" t="s">
        <v>221</v>
      </c>
      <c r="H51" s="46"/>
    </row>
    <row r="52" spans="1:13" s="9" customFormat="1" x14ac:dyDescent="0.25">
      <c r="A52" s="35" t="s">
        <v>223</v>
      </c>
      <c r="B52" s="46"/>
      <c r="C52" s="35" t="s">
        <v>216</v>
      </c>
      <c r="D52" s="46"/>
      <c r="E52" s="35" t="s">
        <v>218</v>
      </c>
      <c r="F52" s="46"/>
      <c r="G52" s="35" t="s">
        <v>225</v>
      </c>
      <c r="H52" s="46"/>
    </row>
    <row r="53" spans="1:13" s="9" customFormat="1" x14ac:dyDescent="0.25">
      <c r="A53" s="35" t="s">
        <v>226</v>
      </c>
      <c r="B53" s="46"/>
      <c r="C53" s="35" t="s">
        <v>227</v>
      </c>
      <c r="D53" s="46"/>
      <c r="E53" s="35" t="s">
        <v>229</v>
      </c>
      <c r="F53" s="46"/>
      <c r="G53" s="35" t="s">
        <v>230</v>
      </c>
      <c r="H53" s="46"/>
    </row>
    <row r="54" spans="1:13" s="9" customFormat="1" x14ac:dyDescent="0.25">
      <c r="A54" s="35" t="s">
        <v>231</v>
      </c>
      <c r="B54" s="46"/>
      <c r="C54" s="35"/>
      <c r="D54" s="46"/>
      <c r="E54" s="35" t="s">
        <v>232</v>
      </c>
      <c r="F54" s="46"/>
      <c r="G54" s="35" t="s">
        <v>234</v>
      </c>
      <c r="H54" s="46"/>
    </row>
    <row r="55" spans="1:13" s="9" customFormat="1" x14ac:dyDescent="0.25">
      <c r="A55" s="35"/>
      <c r="B55" s="46"/>
      <c r="C55" s="35"/>
      <c r="D55" s="46"/>
      <c r="E55" s="35" t="s">
        <v>236</v>
      </c>
      <c r="F55" s="46"/>
      <c r="G55" s="35" t="s">
        <v>237</v>
      </c>
      <c r="H55" s="46"/>
    </row>
    <row r="56" spans="1:13" s="9" customFormat="1" x14ac:dyDescent="0.25">
      <c r="A56" s="35"/>
      <c r="B56" s="46"/>
      <c r="C56" s="35"/>
      <c r="D56" s="46"/>
      <c r="E56" s="35"/>
      <c r="F56" s="46"/>
      <c r="G56" s="35" t="s">
        <v>154</v>
      </c>
      <c r="H56" s="46"/>
    </row>
    <row r="57" spans="1:13" s="14" customFormat="1" x14ac:dyDescent="0.25">
      <c r="A57" s="47"/>
      <c r="B57" s="48"/>
      <c r="C57" s="47"/>
      <c r="D57" s="48"/>
      <c r="E57" s="47"/>
      <c r="F57" s="48"/>
      <c r="G57" s="47"/>
      <c r="H57" s="49"/>
      <c r="I57" s="9"/>
      <c r="J57" s="9"/>
      <c r="K57" s="9"/>
      <c r="L57" s="9"/>
      <c r="M57" s="9"/>
    </row>
    <row r="58" spans="1:13" s="9" customFormat="1" x14ac:dyDescent="0.25">
      <c r="A58" s="35" t="s">
        <v>208</v>
      </c>
      <c r="B58" s="46"/>
      <c r="C58" s="35" t="s">
        <v>210</v>
      </c>
      <c r="D58" s="46"/>
      <c r="E58" s="35" t="s">
        <v>212</v>
      </c>
      <c r="F58" s="46"/>
      <c r="G58" s="35" t="s">
        <v>214</v>
      </c>
      <c r="H58" s="46"/>
    </row>
    <row r="59" spans="1:13" s="9" customFormat="1" x14ac:dyDescent="0.25">
      <c r="A59" s="35" t="s">
        <v>216</v>
      </c>
      <c r="B59" s="46"/>
      <c r="C59" s="35" t="s">
        <v>218</v>
      </c>
      <c r="D59" s="46"/>
      <c r="E59" s="35" t="s">
        <v>219</v>
      </c>
      <c r="F59" s="46"/>
      <c r="G59" s="35" t="s">
        <v>221</v>
      </c>
      <c r="H59" s="46"/>
    </row>
    <row r="60" spans="1:13" s="9" customFormat="1" x14ac:dyDescent="0.25">
      <c r="A60" s="35" t="s">
        <v>223</v>
      </c>
      <c r="B60" s="46"/>
      <c r="C60" s="35" t="s">
        <v>216</v>
      </c>
      <c r="D60" s="46"/>
      <c r="E60" s="35" t="s">
        <v>218</v>
      </c>
      <c r="F60" s="46"/>
      <c r="G60" s="35" t="s">
        <v>225</v>
      </c>
      <c r="H60" s="46"/>
    </row>
    <row r="61" spans="1:13" s="9" customFormat="1" x14ac:dyDescent="0.25">
      <c r="A61" s="35" t="s">
        <v>226</v>
      </c>
      <c r="B61" s="46"/>
      <c r="C61" s="35" t="s">
        <v>227</v>
      </c>
      <c r="D61" s="46"/>
      <c r="E61" s="35" t="s">
        <v>229</v>
      </c>
      <c r="F61" s="46"/>
      <c r="G61" s="35" t="s">
        <v>230</v>
      </c>
      <c r="H61" s="46"/>
    </row>
    <row r="62" spans="1:13" s="9" customFormat="1" x14ac:dyDescent="0.25">
      <c r="A62" s="35" t="s">
        <v>231</v>
      </c>
      <c r="B62" s="46"/>
      <c r="C62" s="35"/>
      <c r="D62" s="46"/>
      <c r="E62" s="35" t="s">
        <v>232</v>
      </c>
      <c r="F62" s="46"/>
      <c r="G62" s="35" t="s">
        <v>234</v>
      </c>
      <c r="H62" s="46"/>
    </row>
    <row r="63" spans="1:13" s="9" customFormat="1" x14ac:dyDescent="0.25">
      <c r="A63" s="35"/>
      <c r="B63" s="46"/>
      <c r="C63" s="35"/>
      <c r="D63" s="46"/>
      <c r="E63" s="35" t="s">
        <v>236</v>
      </c>
      <c r="F63" s="46"/>
      <c r="G63" s="35" t="s">
        <v>237</v>
      </c>
      <c r="H63" s="46"/>
    </row>
    <row r="64" spans="1:13" s="9" customFormat="1" x14ac:dyDescent="0.25">
      <c r="A64" s="35"/>
      <c r="B64" s="46"/>
      <c r="C64" s="35"/>
      <c r="D64" s="46"/>
      <c r="E64" s="35"/>
      <c r="F64" s="46"/>
      <c r="G64" s="35" t="s">
        <v>154</v>
      </c>
      <c r="H64" s="46"/>
    </row>
    <row r="65" spans="1:13" s="14" customFormat="1" x14ac:dyDescent="0.25">
      <c r="A65" s="47"/>
      <c r="B65" s="48"/>
      <c r="C65" s="47"/>
      <c r="D65" s="48"/>
      <c r="E65" s="47"/>
      <c r="F65" s="48"/>
      <c r="G65" s="47"/>
      <c r="H65" s="49"/>
      <c r="I65" s="9"/>
      <c r="J65" s="9"/>
      <c r="K65" s="9"/>
      <c r="L65" s="9"/>
      <c r="M65" s="9"/>
    </row>
    <row r="66" spans="1:13" s="9" customFormat="1" x14ac:dyDescent="0.25">
      <c r="A66" s="35" t="s">
        <v>208</v>
      </c>
      <c r="B66" s="46"/>
      <c r="C66" s="35" t="s">
        <v>210</v>
      </c>
      <c r="D66" s="46"/>
      <c r="E66" s="35" t="s">
        <v>212</v>
      </c>
      <c r="F66" s="46"/>
      <c r="G66" s="35" t="s">
        <v>214</v>
      </c>
      <c r="H66" s="46"/>
    </row>
    <row r="67" spans="1:13" s="9" customFormat="1" x14ac:dyDescent="0.25">
      <c r="A67" s="35" t="s">
        <v>216</v>
      </c>
      <c r="B67" s="46"/>
      <c r="C67" s="35" t="s">
        <v>218</v>
      </c>
      <c r="D67" s="46"/>
      <c r="E67" s="35" t="s">
        <v>219</v>
      </c>
      <c r="F67" s="46"/>
      <c r="G67" s="35" t="s">
        <v>221</v>
      </c>
      <c r="H67" s="46"/>
    </row>
    <row r="68" spans="1:13" s="9" customFormat="1" x14ac:dyDescent="0.25">
      <c r="A68" s="35" t="s">
        <v>223</v>
      </c>
      <c r="B68" s="46"/>
      <c r="C68" s="35" t="s">
        <v>216</v>
      </c>
      <c r="D68" s="46"/>
      <c r="E68" s="35" t="s">
        <v>218</v>
      </c>
      <c r="F68" s="46"/>
      <c r="G68" s="35" t="s">
        <v>225</v>
      </c>
      <c r="H68" s="46"/>
    </row>
    <row r="69" spans="1:13" s="9" customFormat="1" x14ac:dyDescent="0.25">
      <c r="A69" s="35" t="s">
        <v>226</v>
      </c>
      <c r="B69" s="46"/>
      <c r="C69" s="35" t="s">
        <v>227</v>
      </c>
      <c r="D69" s="46"/>
      <c r="E69" s="35" t="s">
        <v>229</v>
      </c>
      <c r="F69" s="46"/>
      <c r="G69" s="35" t="s">
        <v>230</v>
      </c>
      <c r="H69" s="46"/>
    </row>
    <row r="70" spans="1:13" s="9" customFormat="1" x14ac:dyDescent="0.25">
      <c r="A70" s="35" t="s">
        <v>231</v>
      </c>
      <c r="B70" s="46"/>
      <c r="C70" s="35"/>
      <c r="D70" s="46"/>
      <c r="E70" s="35" t="s">
        <v>232</v>
      </c>
      <c r="F70" s="46"/>
      <c r="G70" s="35" t="s">
        <v>234</v>
      </c>
      <c r="H70" s="46"/>
    </row>
    <row r="71" spans="1:13" s="9" customFormat="1" x14ac:dyDescent="0.25">
      <c r="A71" s="35"/>
      <c r="B71" s="46"/>
      <c r="C71" s="35"/>
      <c r="D71" s="46"/>
      <c r="E71" s="35" t="s">
        <v>236</v>
      </c>
      <c r="F71" s="46"/>
      <c r="G71" s="35" t="s">
        <v>237</v>
      </c>
      <c r="H71" s="46"/>
    </row>
    <row r="72" spans="1:13" s="9" customFormat="1" x14ac:dyDescent="0.25">
      <c r="A72" s="35"/>
      <c r="B72" s="46"/>
      <c r="C72" s="35"/>
      <c r="D72" s="46"/>
      <c r="E72" s="35"/>
      <c r="F72" s="46"/>
      <c r="G72" s="35" t="s">
        <v>154</v>
      </c>
      <c r="H72" s="46"/>
    </row>
    <row r="73" spans="1:13" s="14" customFormat="1" x14ac:dyDescent="0.25">
      <c r="A73" s="47"/>
      <c r="B73" s="48"/>
      <c r="C73" s="47"/>
      <c r="D73" s="48"/>
      <c r="E73" s="47"/>
      <c r="F73" s="48"/>
      <c r="G73" s="47"/>
      <c r="H73" s="49"/>
      <c r="I73" s="9"/>
      <c r="J73" s="9"/>
      <c r="K73" s="9"/>
      <c r="L73" s="9"/>
      <c r="M73" s="9"/>
    </row>
    <row r="74" spans="1:13" s="9" customFormat="1" x14ac:dyDescent="0.25">
      <c r="A74" s="35" t="s">
        <v>208</v>
      </c>
      <c r="B74" s="46"/>
      <c r="C74" s="35" t="s">
        <v>210</v>
      </c>
      <c r="D74" s="46"/>
      <c r="E74" s="35" t="s">
        <v>212</v>
      </c>
      <c r="F74" s="46"/>
      <c r="G74" s="35" t="s">
        <v>214</v>
      </c>
      <c r="H74" s="46"/>
    </row>
    <row r="75" spans="1:13" s="9" customFormat="1" x14ac:dyDescent="0.25">
      <c r="A75" s="35" t="s">
        <v>216</v>
      </c>
      <c r="B75" s="46"/>
      <c r="C75" s="35" t="s">
        <v>218</v>
      </c>
      <c r="D75" s="46"/>
      <c r="E75" s="35" t="s">
        <v>219</v>
      </c>
      <c r="F75" s="46"/>
      <c r="G75" s="35" t="s">
        <v>221</v>
      </c>
      <c r="H75" s="46"/>
    </row>
    <row r="76" spans="1:13" s="9" customFormat="1" x14ac:dyDescent="0.25">
      <c r="A76" s="35" t="s">
        <v>223</v>
      </c>
      <c r="B76" s="46"/>
      <c r="C76" s="35" t="s">
        <v>216</v>
      </c>
      <c r="D76" s="46"/>
      <c r="E76" s="35" t="s">
        <v>218</v>
      </c>
      <c r="F76" s="46"/>
      <c r="G76" s="35" t="s">
        <v>225</v>
      </c>
      <c r="H76" s="46"/>
    </row>
    <row r="77" spans="1:13" s="9" customFormat="1" x14ac:dyDescent="0.25">
      <c r="A77" s="35" t="s">
        <v>226</v>
      </c>
      <c r="B77" s="46"/>
      <c r="C77" s="35" t="s">
        <v>227</v>
      </c>
      <c r="D77" s="46"/>
      <c r="E77" s="35" t="s">
        <v>229</v>
      </c>
      <c r="F77" s="46"/>
      <c r="G77" s="35" t="s">
        <v>230</v>
      </c>
      <c r="H77" s="46"/>
    </row>
    <row r="78" spans="1:13" s="9" customFormat="1" x14ac:dyDescent="0.25">
      <c r="A78" s="35" t="s">
        <v>231</v>
      </c>
      <c r="B78" s="46"/>
      <c r="C78" s="35"/>
      <c r="D78" s="46"/>
      <c r="E78" s="35" t="s">
        <v>232</v>
      </c>
      <c r="F78" s="46"/>
      <c r="G78" s="35" t="s">
        <v>234</v>
      </c>
      <c r="H78" s="46"/>
    </row>
    <row r="79" spans="1:13" s="9" customFormat="1" x14ac:dyDescent="0.25">
      <c r="A79" s="35"/>
      <c r="B79" s="46"/>
      <c r="C79" s="35"/>
      <c r="D79" s="46"/>
      <c r="E79" s="35" t="s">
        <v>236</v>
      </c>
      <c r="F79" s="46"/>
      <c r="G79" s="35" t="s">
        <v>237</v>
      </c>
      <c r="H79" s="46"/>
    </row>
    <row r="80" spans="1:13" s="9" customFormat="1" x14ac:dyDescent="0.25">
      <c r="A80" s="35"/>
      <c r="B80" s="46"/>
      <c r="C80" s="35"/>
      <c r="D80" s="46"/>
      <c r="E80" s="35"/>
      <c r="F80" s="46"/>
      <c r="G80" s="35" t="s">
        <v>154</v>
      </c>
      <c r="H80" s="46"/>
    </row>
    <row r="81" spans="1:13" s="14" customFormat="1" x14ac:dyDescent="0.25">
      <c r="A81" s="47"/>
      <c r="B81" s="48"/>
      <c r="C81" s="47"/>
      <c r="D81" s="48"/>
      <c r="E81" s="47"/>
      <c r="F81" s="48"/>
      <c r="G81" s="47"/>
      <c r="H81" s="49"/>
      <c r="I81" s="9"/>
      <c r="J81" s="9"/>
      <c r="K81" s="9"/>
      <c r="L81" s="9"/>
      <c r="M81" s="9"/>
    </row>
    <row r="82" spans="1:13" s="9" customFormat="1" x14ac:dyDescent="0.25">
      <c r="A82" s="35" t="s">
        <v>208</v>
      </c>
      <c r="B82" s="46"/>
      <c r="C82" s="35" t="s">
        <v>210</v>
      </c>
      <c r="D82" s="46"/>
      <c r="E82" s="35" t="s">
        <v>212</v>
      </c>
      <c r="F82" s="46"/>
      <c r="G82" s="35" t="s">
        <v>214</v>
      </c>
      <c r="H82" s="46"/>
    </row>
    <row r="83" spans="1:13" s="9" customFormat="1" x14ac:dyDescent="0.25">
      <c r="A83" s="35" t="s">
        <v>216</v>
      </c>
      <c r="B83" s="46"/>
      <c r="C83" s="35" t="s">
        <v>218</v>
      </c>
      <c r="D83" s="46"/>
      <c r="E83" s="35" t="s">
        <v>219</v>
      </c>
      <c r="F83" s="46"/>
      <c r="G83" s="35" t="s">
        <v>221</v>
      </c>
      <c r="H83" s="46"/>
    </row>
    <row r="84" spans="1:13" s="9" customFormat="1" x14ac:dyDescent="0.25">
      <c r="A84" s="35" t="s">
        <v>223</v>
      </c>
      <c r="B84" s="46"/>
      <c r="C84" s="35" t="s">
        <v>216</v>
      </c>
      <c r="D84" s="46"/>
      <c r="E84" s="35" t="s">
        <v>218</v>
      </c>
      <c r="F84" s="46"/>
      <c r="G84" s="35" t="s">
        <v>225</v>
      </c>
      <c r="H84" s="46"/>
    </row>
    <row r="85" spans="1:13" s="9" customFormat="1" x14ac:dyDescent="0.25">
      <c r="A85" s="35" t="s">
        <v>226</v>
      </c>
      <c r="B85" s="46"/>
      <c r="C85" s="35" t="s">
        <v>227</v>
      </c>
      <c r="D85" s="46"/>
      <c r="E85" s="35" t="s">
        <v>229</v>
      </c>
      <c r="F85" s="46"/>
      <c r="G85" s="35" t="s">
        <v>230</v>
      </c>
      <c r="H85" s="46"/>
    </row>
    <row r="86" spans="1:13" s="9" customFormat="1" x14ac:dyDescent="0.25">
      <c r="A86" s="35" t="s">
        <v>231</v>
      </c>
      <c r="B86" s="46"/>
      <c r="C86" s="35"/>
      <c r="D86" s="46"/>
      <c r="E86" s="35" t="s">
        <v>232</v>
      </c>
      <c r="F86" s="46"/>
      <c r="G86" s="35" t="s">
        <v>234</v>
      </c>
      <c r="H86" s="46"/>
    </row>
    <row r="87" spans="1:13" s="9" customFormat="1" x14ac:dyDescent="0.25">
      <c r="A87" s="35"/>
      <c r="B87" s="46"/>
      <c r="C87" s="35"/>
      <c r="D87" s="46"/>
      <c r="E87" s="35" t="s">
        <v>236</v>
      </c>
      <c r="F87" s="46"/>
      <c r="G87" s="35" t="s">
        <v>237</v>
      </c>
      <c r="H87" s="46"/>
    </row>
    <row r="88" spans="1:13" s="9" customFormat="1" x14ac:dyDescent="0.25">
      <c r="A88" s="35"/>
      <c r="B88" s="46"/>
      <c r="C88" s="35"/>
      <c r="D88" s="46"/>
      <c r="E88" s="35"/>
      <c r="F88" s="46"/>
      <c r="G88" s="35" t="s">
        <v>154</v>
      </c>
      <c r="H88" s="46"/>
    </row>
    <row r="89" spans="1:13" s="14" customFormat="1" x14ac:dyDescent="0.25">
      <c r="A89" s="47"/>
      <c r="B89" s="48"/>
      <c r="C89" s="47"/>
      <c r="D89" s="48"/>
      <c r="E89" s="47"/>
      <c r="F89" s="48"/>
      <c r="G89" s="47"/>
      <c r="H89" s="49"/>
      <c r="I89" s="9"/>
      <c r="J89" s="9"/>
      <c r="K89" s="9"/>
      <c r="L89" s="9"/>
      <c r="M89" s="9"/>
    </row>
    <row r="90" spans="1:13" s="9" customFormat="1" x14ac:dyDescent="0.25">
      <c r="A90" s="35" t="s">
        <v>208</v>
      </c>
      <c r="B90" s="46"/>
      <c r="C90" s="35" t="s">
        <v>210</v>
      </c>
      <c r="D90" s="46"/>
      <c r="E90" s="35" t="s">
        <v>212</v>
      </c>
      <c r="F90" s="46"/>
      <c r="G90" s="35" t="s">
        <v>214</v>
      </c>
      <c r="H90" s="46"/>
    </row>
    <row r="91" spans="1:13" s="9" customFormat="1" x14ac:dyDescent="0.25">
      <c r="A91" s="35" t="s">
        <v>216</v>
      </c>
      <c r="B91" s="46"/>
      <c r="C91" s="35" t="s">
        <v>218</v>
      </c>
      <c r="D91" s="46"/>
      <c r="E91" s="35" t="s">
        <v>219</v>
      </c>
      <c r="F91" s="46"/>
      <c r="G91" s="35" t="s">
        <v>221</v>
      </c>
      <c r="H91" s="46"/>
    </row>
    <row r="92" spans="1:13" s="9" customFormat="1" x14ac:dyDescent="0.25">
      <c r="A92" s="35" t="s">
        <v>223</v>
      </c>
      <c r="B92" s="46"/>
      <c r="C92" s="35" t="s">
        <v>216</v>
      </c>
      <c r="D92" s="46"/>
      <c r="E92" s="35" t="s">
        <v>218</v>
      </c>
      <c r="F92" s="46"/>
      <c r="G92" s="35" t="s">
        <v>225</v>
      </c>
      <c r="H92" s="46"/>
    </row>
    <row r="93" spans="1:13" s="9" customFormat="1" x14ac:dyDescent="0.25">
      <c r="A93" s="35" t="s">
        <v>226</v>
      </c>
      <c r="B93" s="46"/>
      <c r="C93" s="35" t="s">
        <v>227</v>
      </c>
      <c r="D93" s="46"/>
      <c r="E93" s="35" t="s">
        <v>229</v>
      </c>
      <c r="F93" s="46"/>
      <c r="G93" s="35" t="s">
        <v>230</v>
      </c>
      <c r="H93" s="46"/>
    </row>
    <row r="94" spans="1:13" s="9" customFormat="1" x14ac:dyDescent="0.25">
      <c r="A94" s="35" t="s">
        <v>231</v>
      </c>
      <c r="B94" s="46"/>
      <c r="C94" s="35"/>
      <c r="D94" s="46"/>
      <c r="E94" s="35" t="s">
        <v>232</v>
      </c>
      <c r="F94" s="46"/>
      <c r="G94" s="35" t="s">
        <v>234</v>
      </c>
      <c r="H94" s="46"/>
    </row>
    <row r="95" spans="1:13" s="9" customFormat="1" x14ac:dyDescent="0.25">
      <c r="A95" s="35"/>
      <c r="B95" s="46"/>
      <c r="C95" s="35"/>
      <c r="D95" s="46"/>
      <c r="E95" s="35" t="s">
        <v>236</v>
      </c>
      <c r="F95" s="46"/>
      <c r="G95" s="35" t="s">
        <v>237</v>
      </c>
      <c r="H95" s="46"/>
    </row>
    <row r="96" spans="1:13" s="9" customFormat="1" x14ac:dyDescent="0.25">
      <c r="A96" s="35"/>
      <c r="B96" s="46"/>
      <c r="C96" s="35"/>
      <c r="D96" s="46"/>
      <c r="E96" s="35"/>
      <c r="F96" s="46"/>
      <c r="G96" s="35" t="s">
        <v>154</v>
      </c>
      <c r="H96" s="46"/>
    </row>
    <row r="97" spans="1:13" s="14" customFormat="1" x14ac:dyDescent="0.25">
      <c r="A97" s="47"/>
      <c r="B97" s="48"/>
      <c r="C97" s="47"/>
      <c r="D97" s="48"/>
      <c r="E97" s="47"/>
      <c r="F97" s="48"/>
      <c r="G97" s="47"/>
      <c r="H97" s="49"/>
      <c r="I97" s="9"/>
      <c r="J97" s="9"/>
      <c r="K97" s="9"/>
      <c r="L97" s="9"/>
      <c r="M97" s="9"/>
    </row>
    <row r="98" spans="1:13" s="9" customFormat="1" x14ac:dyDescent="0.25">
      <c r="A98" s="35" t="s">
        <v>208</v>
      </c>
      <c r="B98" s="46"/>
      <c r="C98" s="35" t="s">
        <v>210</v>
      </c>
      <c r="D98" s="46"/>
      <c r="E98" s="35" t="s">
        <v>212</v>
      </c>
      <c r="F98" s="46"/>
      <c r="G98" s="35" t="s">
        <v>214</v>
      </c>
      <c r="H98" s="46"/>
    </row>
    <row r="99" spans="1:13" s="9" customFormat="1" x14ac:dyDescent="0.25">
      <c r="A99" s="35" t="s">
        <v>216</v>
      </c>
      <c r="B99" s="46"/>
      <c r="C99" s="35" t="s">
        <v>218</v>
      </c>
      <c r="D99" s="46"/>
      <c r="E99" s="35" t="s">
        <v>219</v>
      </c>
      <c r="F99" s="46"/>
      <c r="G99" s="35" t="s">
        <v>221</v>
      </c>
      <c r="H99" s="46"/>
    </row>
    <row r="100" spans="1:13" s="9" customFormat="1" x14ac:dyDescent="0.25">
      <c r="A100" s="35" t="s">
        <v>223</v>
      </c>
      <c r="B100" s="46"/>
      <c r="C100" s="35" t="s">
        <v>216</v>
      </c>
      <c r="D100" s="46"/>
      <c r="E100" s="35" t="s">
        <v>218</v>
      </c>
      <c r="F100" s="46"/>
      <c r="G100" s="35" t="s">
        <v>225</v>
      </c>
      <c r="H100" s="46"/>
    </row>
    <row r="101" spans="1:13" s="9" customFormat="1" x14ac:dyDescent="0.25">
      <c r="A101" s="35" t="s">
        <v>226</v>
      </c>
      <c r="B101" s="46"/>
      <c r="C101" s="35" t="s">
        <v>227</v>
      </c>
      <c r="D101" s="46"/>
      <c r="E101" s="35" t="s">
        <v>229</v>
      </c>
      <c r="F101" s="46"/>
      <c r="G101" s="35" t="s">
        <v>230</v>
      </c>
      <c r="H101" s="46"/>
    </row>
    <row r="102" spans="1:13" s="9" customFormat="1" x14ac:dyDescent="0.25">
      <c r="A102" s="35" t="s">
        <v>231</v>
      </c>
      <c r="B102" s="46"/>
      <c r="C102" s="35"/>
      <c r="D102" s="46"/>
      <c r="E102" s="35" t="s">
        <v>232</v>
      </c>
      <c r="F102" s="46"/>
      <c r="G102" s="35" t="s">
        <v>234</v>
      </c>
      <c r="H102" s="46"/>
    </row>
    <row r="103" spans="1:13" s="9" customFormat="1" x14ac:dyDescent="0.25">
      <c r="A103" s="35"/>
      <c r="B103" s="46"/>
      <c r="C103" s="35"/>
      <c r="D103" s="46"/>
      <c r="E103" s="35" t="s">
        <v>236</v>
      </c>
      <c r="F103" s="46"/>
      <c r="G103" s="35" t="s">
        <v>237</v>
      </c>
      <c r="H103" s="46"/>
    </row>
    <row r="104" spans="1:13" s="9" customFormat="1" x14ac:dyDescent="0.25">
      <c r="A104" s="35"/>
      <c r="B104" s="46"/>
      <c r="C104" s="35"/>
      <c r="D104" s="46"/>
      <c r="E104" s="35"/>
      <c r="F104" s="46"/>
      <c r="G104" s="35" t="s">
        <v>154</v>
      </c>
      <c r="H104" s="46"/>
    </row>
    <row r="105" spans="1:13" s="14" customFormat="1" x14ac:dyDescent="0.25">
      <c r="A105" s="47"/>
      <c r="B105" s="48"/>
      <c r="C105" s="47"/>
      <c r="D105" s="48"/>
      <c r="E105" s="47"/>
      <c r="F105" s="48"/>
      <c r="G105" s="47"/>
      <c r="H105" s="49"/>
      <c r="I105" s="9"/>
      <c r="J105" s="9"/>
      <c r="K105" s="9"/>
      <c r="L105" s="9"/>
      <c r="M105" s="9"/>
    </row>
    <row r="106" spans="1:13" s="9" customFormat="1" x14ac:dyDescent="0.25">
      <c r="A106" s="35" t="s">
        <v>208</v>
      </c>
      <c r="B106" s="46"/>
      <c r="C106" s="35" t="s">
        <v>210</v>
      </c>
      <c r="D106" s="46"/>
      <c r="E106" s="35" t="s">
        <v>212</v>
      </c>
      <c r="F106" s="46"/>
      <c r="G106" s="35" t="s">
        <v>214</v>
      </c>
      <c r="H106" s="46"/>
    </row>
    <row r="107" spans="1:13" s="9" customFormat="1" x14ac:dyDescent="0.25">
      <c r="A107" s="35" t="s">
        <v>216</v>
      </c>
      <c r="B107" s="46"/>
      <c r="C107" s="35" t="s">
        <v>218</v>
      </c>
      <c r="D107" s="46"/>
      <c r="E107" s="35" t="s">
        <v>219</v>
      </c>
      <c r="F107" s="46"/>
      <c r="G107" s="35" t="s">
        <v>221</v>
      </c>
      <c r="H107" s="46"/>
    </row>
    <row r="108" spans="1:13" s="9" customFormat="1" x14ac:dyDescent="0.25">
      <c r="A108" s="35" t="s">
        <v>223</v>
      </c>
      <c r="B108" s="46"/>
      <c r="C108" s="35" t="s">
        <v>216</v>
      </c>
      <c r="D108" s="46"/>
      <c r="E108" s="35" t="s">
        <v>218</v>
      </c>
      <c r="F108" s="46"/>
      <c r="G108" s="35" t="s">
        <v>225</v>
      </c>
      <c r="H108" s="46"/>
    </row>
    <row r="109" spans="1:13" s="9" customFormat="1" x14ac:dyDescent="0.25">
      <c r="A109" s="35" t="s">
        <v>226</v>
      </c>
      <c r="B109" s="46"/>
      <c r="C109" s="35" t="s">
        <v>227</v>
      </c>
      <c r="D109" s="46"/>
      <c r="E109" s="35" t="s">
        <v>229</v>
      </c>
      <c r="F109" s="46"/>
      <c r="G109" s="35" t="s">
        <v>230</v>
      </c>
      <c r="H109" s="46"/>
    </row>
    <row r="110" spans="1:13" s="9" customFormat="1" x14ac:dyDescent="0.25">
      <c r="A110" s="35" t="s">
        <v>231</v>
      </c>
      <c r="B110" s="46"/>
      <c r="C110" s="35"/>
      <c r="D110" s="46"/>
      <c r="E110" s="35" t="s">
        <v>232</v>
      </c>
      <c r="F110" s="46"/>
      <c r="G110" s="35" t="s">
        <v>234</v>
      </c>
      <c r="H110" s="46"/>
    </row>
    <row r="111" spans="1:13" s="9" customFormat="1" x14ac:dyDescent="0.25">
      <c r="A111" s="35"/>
      <c r="B111" s="46"/>
      <c r="C111" s="35"/>
      <c r="D111" s="46"/>
      <c r="E111" s="35" t="s">
        <v>236</v>
      </c>
      <c r="F111" s="46"/>
      <c r="G111" s="35" t="s">
        <v>237</v>
      </c>
      <c r="H111" s="46"/>
    </row>
    <row r="112" spans="1:13" s="9" customFormat="1" x14ac:dyDescent="0.25">
      <c r="A112" s="35"/>
      <c r="B112" s="46"/>
      <c r="C112" s="35"/>
      <c r="D112" s="46"/>
      <c r="E112" s="35"/>
      <c r="F112" s="46"/>
      <c r="G112" s="35" t="s">
        <v>154</v>
      </c>
      <c r="H112" s="46"/>
    </row>
    <row r="113" spans="1:13" s="14" customFormat="1" x14ac:dyDescent="0.25">
      <c r="A113" s="47"/>
      <c r="B113" s="48"/>
      <c r="C113" s="47"/>
      <c r="D113" s="48"/>
      <c r="E113" s="47"/>
      <c r="F113" s="48"/>
      <c r="G113" s="47"/>
      <c r="H113" s="49"/>
      <c r="I113" s="9"/>
      <c r="J113" s="9"/>
      <c r="K113" s="9"/>
      <c r="L113" s="9"/>
      <c r="M113" s="9"/>
    </row>
    <row r="114" spans="1:13" s="9" customFormat="1" x14ac:dyDescent="0.25">
      <c r="A114" s="35" t="s">
        <v>208</v>
      </c>
      <c r="B114" s="46"/>
      <c r="C114" s="35" t="s">
        <v>210</v>
      </c>
      <c r="D114" s="46"/>
      <c r="E114" s="35" t="s">
        <v>212</v>
      </c>
      <c r="F114" s="46"/>
      <c r="G114" s="35" t="s">
        <v>214</v>
      </c>
      <c r="H114" s="46"/>
    </row>
    <row r="115" spans="1:13" s="9" customFormat="1" x14ac:dyDescent="0.25">
      <c r="A115" s="35" t="s">
        <v>216</v>
      </c>
      <c r="B115" s="46"/>
      <c r="C115" s="35" t="s">
        <v>218</v>
      </c>
      <c r="D115" s="46"/>
      <c r="E115" s="35" t="s">
        <v>219</v>
      </c>
      <c r="F115" s="46"/>
      <c r="G115" s="35" t="s">
        <v>221</v>
      </c>
      <c r="H115" s="46"/>
    </row>
    <row r="116" spans="1:13" s="9" customFormat="1" x14ac:dyDescent="0.25">
      <c r="A116" s="35" t="s">
        <v>223</v>
      </c>
      <c r="B116" s="46"/>
      <c r="C116" s="35" t="s">
        <v>216</v>
      </c>
      <c r="D116" s="46"/>
      <c r="E116" s="35" t="s">
        <v>218</v>
      </c>
      <c r="F116" s="46"/>
      <c r="G116" s="35" t="s">
        <v>225</v>
      </c>
      <c r="H116" s="46"/>
    </row>
    <row r="117" spans="1:13" s="9" customFormat="1" x14ac:dyDescent="0.25">
      <c r="A117" s="35" t="s">
        <v>226</v>
      </c>
      <c r="B117" s="46"/>
      <c r="C117" s="35" t="s">
        <v>227</v>
      </c>
      <c r="D117" s="46"/>
      <c r="E117" s="35" t="s">
        <v>229</v>
      </c>
      <c r="F117" s="46"/>
      <c r="G117" s="35" t="s">
        <v>230</v>
      </c>
      <c r="H117" s="46"/>
    </row>
    <row r="118" spans="1:13" s="9" customFormat="1" x14ac:dyDescent="0.25">
      <c r="A118" s="35" t="s">
        <v>231</v>
      </c>
      <c r="B118" s="46"/>
      <c r="C118" s="35"/>
      <c r="D118" s="46"/>
      <c r="E118" s="35" t="s">
        <v>232</v>
      </c>
      <c r="F118" s="46"/>
      <c r="G118" s="35" t="s">
        <v>234</v>
      </c>
      <c r="H118" s="46"/>
    </row>
    <row r="119" spans="1:13" s="9" customFormat="1" x14ac:dyDescent="0.25">
      <c r="A119" s="35"/>
      <c r="B119" s="46"/>
      <c r="C119" s="35"/>
      <c r="D119" s="46"/>
      <c r="E119" s="35" t="s">
        <v>236</v>
      </c>
      <c r="F119" s="46"/>
      <c r="G119" s="35" t="s">
        <v>237</v>
      </c>
      <c r="H119" s="46"/>
    </row>
    <row r="120" spans="1:13" s="9" customFormat="1" x14ac:dyDescent="0.25">
      <c r="A120" s="35"/>
      <c r="B120" s="46"/>
      <c r="C120" s="35"/>
      <c r="D120" s="46"/>
      <c r="E120" s="35"/>
      <c r="F120" s="46"/>
      <c r="G120" s="35" t="s">
        <v>154</v>
      </c>
      <c r="H120" s="46"/>
    </row>
    <row r="121" spans="1:13" s="14" customFormat="1" x14ac:dyDescent="0.25">
      <c r="A121" s="47"/>
      <c r="B121" s="48"/>
      <c r="C121" s="47"/>
      <c r="D121" s="48"/>
      <c r="E121" s="47"/>
      <c r="F121" s="48"/>
      <c r="G121" s="47"/>
      <c r="H121" s="49"/>
      <c r="I121" s="9"/>
      <c r="J121" s="9"/>
      <c r="K121" s="9"/>
      <c r="L121" s="9"/>
      <c r="M121" s="9"/>
    </row>
    <row r="122" spans="1:13" s="9" customFormat="1" x14ac:dyDescent="0.25">
      <c r="A122" s="35" t="s">
        <v>208</v>
      </c>
      <c r="B122" s="46"/>
      <c r="C122" s="35" t="s">
        <v>210</v>
      </c>
      <c r="D122" s="46"/>
      <c r="E122" s="35" t="s">
        <v>212</v>
      </c>
      <c r="F122" s="46"/>
      <c r="G122" s="35" t="s">
        <v>214</v>
      </c>
      <c r="H122" s="46"/>
    </row>
    <row r="123" spans="1:13" s="9" customFormat="1" x14ac:dyDescent="0.25">
      <c r="A123" s="35" t="s">
        <v>216</v>
      </c>
      <c r="B123" s="46"/>
      <c r="C123" s="35" t="s">
        <v>218</v>
      </c>
      <c r="D123" s="46"/>
      <c r="E123" s="35" t="s">
        <v>219</v>
      </c>
      <c r="F123" s="46"/>
      <c r="G123" s="35" t="s">
        <v>221</v>
      </c>
      <c r="H123" s="46"/>
    </row>
    <row r="124" spans="1:13" s="9" customFormat="1" x14ac:dyDescent="0.25">
      <c r="A124" s="35" t="s">
        <v>223</v>
      </c>
      <c r="B124" s="46"/>
      <c r="C124" s="35" t="s">
        <v>216</v>
      </c>
      <c r="D124" s="46"/>
      <c r="E124" s="35" t="s">
        <v>218</v>
      </c>
      <c r="F124" s="46"/>
      <c r="G124" s="35" t="s">
        <v>225</v>
      </c>
      <c r="H124" s="46"/>
    </row>
    <row r="125" spans="1:13" s="9" customFormat="1" x14ac:dyDescent="0.25">
      <c r="A125" s="35" t="s">
        <v>226</v>
      </c>
      <c r="B125" s="46"/>
      <c r="C125" s="35" t="s">
        <v>227</v>
      </c>
      <c r="D125" s="46"/>
      <c r="E125" s="35" t="s">
        <v>229</v>
      </c>
      <c r="F125" s="46"/>
      <c r="G125" s="35" t="s">
        <v>230</v>
      </c>
      <c r="H125" s="46"/>
    </row>
    <row r="126" spans="1:13" s="9" customFormat="1" x14ac:dyDescent="0.25">
      <c r="A126" s="35" t="s">
        <v>231</v>
      </c>
      <c r="B126" s="46"/>
      <c r="C126" s="35"/>
      <c r="D126" s="46"/>
      <c r="E126" s="35" t="s">
        <v>232</v>
      </c>
      <c r="F126" s="46"/>
      <c r="G126" s="35" t="s">
        <v>234</v>
      </c>
      <c r="H126" s="46"/>
    </row>
    <row r="127" spans="1:13" s="9" customFormat="1" x14ac:dyDescent="0.25">
      <c r="A127" s="35"/>
      <c r="B127" s="46"/>
      <c r="C127" s="35"/>
      <c r="D127" s="46"/>
      <c r="E127" s="35" t="s">
        <v>236</v>
      </c>
      <c r="F127" s="46"/>
      <c r="G127" s="35" t="s">
        <v>237</v>
      </c>
      <c r="H127" s="46"/>
    </row>
    <row r="128" spans="1:13" s="9" customFormat="1" x14ac:dyDescent="0.25">
      <c r="A128" s="35"/>
      <c r="B128" s="46"/>
      <c r="C128" s="35"/>
      <c r="D128" s="46"/>
      <c r="E128" s="35"/>
      <c r="F128" s="46"/>
      <c r="G128" s="35" t="s">
        <v>154</v>
      </c>
      <c r="H128" s="46"/>
    </row>
    <row r="129" spans="1:13" s="14" customFormat="1" x14ac:dyDescent="0.25">
      <c r="A129" s="47"/>
      <c r="B129" s="48"/>
      <c r="C129" s="47"/>
      <c r="D129" s="48"/>
      <c r="E129" s="47"/>
      <c r="F129" s="48"/>
      <c r="G129" s="47"/>
      <c r="H129" s="49"/>
      <c r="I129" s="9"/>
      <c r="J129" s="9"/>
      <c r="K129" s="9"/>
      <c r="L129" s="9"/>
      <c r="M129" s="9"/>
    </row>
    <row r="130" spans="1:13" s="9" customFormat="1" x14ac:dyDescent="0.25">
      <c r="A130" s="35" t="s">
        <v>208</v>
      </c>
      <c r="B130" s="46"/>
      <c r="C130" s="35" t="s">
        <v>210</v>
      </c>
      <c r="D130" s="46"/>
      <c r="E130" s="35" t="s">
        <v>212</v>
      </c>
      <c r="F130" s="46"/>
      <c r="G130" s="35" t="s">
        <v>214</v>
      </c>
      <c r="H130" s="46"/>
    </row>
    <row r="131" spans="1:13" s="9" customFormat="1" x14ac:dyDescent="0.25">
      <c r="A131" s="35" t="s">
        <v>216</v>
      </c>
      <c r="B131" s="46"/>
      <c r="C131" s="35" t="s">
        <v>218</v>
      </c>
      <c r="D131" s="46"/>
      <c r="E131" s="35" t="s">
        <v>219</v>
      </c>
      <c r="F131" s="46"/>
      <c r="G131" s="35" t="s">
        <v>221</v>
      </c>
      <c r="H131" s="46"/>
    </row>
    <row r="132" spans="1:13" s="9" customFormat="1" x14ac:dyDescent="0.25">
      <c r="A132" s="35" t="s">
        <v>223</v>
      </c>
      <c r="B132" s="46"/>
      <c r="C132" s="35" t="s">
        <v>216</v>
      </c>
      <c r="D132" s="46"/>
      <c r="E132" s="35" t="s">
        <v>218</v>
      </c>
      <c r="F132" s="46"/>
      <c r="G132" s="35" t="s">
        <v>225</v>
      </c>
      <c r="H132" s="46"/>
    </row>
    <row r="133" spans="1:13" s="9" customFormat="1" x14ac:dyDescent="0.25">
      <c r="A133" s="35" t="s">
        <v>226</v>
      </c>
      <c r="B133" s="46"/>
      <c r="C133" s="35" t="s">
        <v>227</v>
      </c>
      <c r="D133" s="46"/>
      <c r="E133" s="35" t="s">
        <v>229</v>
      </c>
      <c r="F133" s="46"/>
      <c r="G133" s="35" t="s">
        <v>230</v>
      </c>
      <c r="H133" s="46"/>
    </row>
    <row r="134" spans="1:13" s="9" customFormat="1" x14ac:dyDescent="0.25">
      <c r="A134" s="35" t="s">
        <v>231</v>
      </c>
      <c r="B134" s="46"/>
      <c r="C134" s="35"/>
      <c r="D134" s="46"/>
      <c r="E134" s="35" t="s">
        <v>232</v>
      </c>
      <c r="F134" s="46"/>
      <c r="G134" s="35" t="s">
        <v>234</v>
      </c>
      <c r="H134" s="46"/>
    </row>
    <row r="135" spans="1:13" s="9" customFormat="1" x14ac:dyDescent="0.25">
      <c r="A135" s="35"/>
      <c r="B135" s="46"/>
      <c r="C135" s="35"/>
      <c r="D135" s="46"/>
      <c r="E135" s="35" t="s">
        <v>236</v>
      </c>
      <c r="F135" s="46"/>
      <c r="G135" s="35" t="s">
        <v>237</v>
      </c>
      <c r="H135" s="46"/>
    </row>
    <row r="136" spans="1:13" s="9" customFormat="1" x14ac:dyDescent="0.25">
      <c r="A136" s="35"/>
      <c r="B136" s="46"/>
      <c r="C136" s="35"/>
      <c r="D136" s="46"/>
      <c r="E136" s="35"/>
      <c r="F136" s="46"/>
      <c r="G136" s="35" t="s">
        <v>154</v>
      </c>
      <c r="H136" s="46"/>
    </row>
    <row r="137" spans="1:13" s="14" customFormat="1" x14ac:dyDescent="0.25">
      <c r="A137" s="47"/>
      <c r="B137" s="48"/>
      <c r="C137" s="47"/>
      <c r="D137" s="48"/>
      <c r="E137" s="47"/>
      <c r="F137" s="48"/>
      <c r="G137" s="47"/>
      <c r="H137" s="49"/>
      <c r="I137" s="9"/>
      <c r="J137" s="9"/>
      <c r="K137" s="9"/>
      <c r="L137" s="9"/>
      <c r="M137" s="9"/>
    </row>
    <row r="138" spans="1:13" s="9" customFormat="1" x14ac:dyDescent="0.25">
      <c r="A138" s="35" t="s">
        <v>208</v>
      </c>
      <c r="B138" s="46"/>
      <c r="C138" s="35" t="s">
        <v>210</v>
      </c>
      <c r="D138" s="46"/>
      <c r="E138" s="35" t="s">
        <v>212</v>
      </c>
      <c r="F138" s="46"/>
      <c r="G138" s="35" t="s">
        <v>214</v>
      </c>
      <c r="H138" s="46"/>
    </row>
    <row r="139" spans="1:13" s="9" customFormat="1" x14ac:dyDescent="0.25">
      <c r="A139" s="35" t="s">
        <v>216</v>
      </c>
      <c r="B139" s="46"/>
      <c r="C139" s="35" t="s">
        <v>218</v>
      </c>
      <c r="D139" s="46"/>
      <c r="E139" s="35" t="s">
        <v>219</v>
      </c>
      <c r="F139" s="46"/>
      <c r="G139" s="35" t="s">
        <v>221</v>
      </c>
      <c r="H139" s="46"/>
    </row>
    <row r="140" spans="1:13" s="9" customFormat="1" x14ac:dyDescent="0.25">
      <c r="A140" s="35" t="s">
        <v>223</v>
      </c>
      <c r="B140" s="46"/>
      <c r="C140" s="35" t="s">
        <v>216</v>
      </c>
      <c r="D140" s="46"/>
      <c r="E140" s="35" t="s">
        <v>218</v>
      </c>
      <c r="F140" s="46"/>
      <c r="G140" s="35" t="s">
        <v>225</v>
      </c>
      <c r="H140" s="46"/>
    </row>
    <row r="141" spans="1:13" s="9" customFormat="1" x14ac:dyDescent="0.25">
      <c r="A141" s="35" t="s">
        <v>226</v>
      </c>
      <c r="B141" s="46"/>
      <c r="C141" s="35" t="s">
        <v>227</v>
      </c>
      <c r="D141" s="46"/>
      <c r="E141" s="35" t="s">
        <v>229</v>
      </c>
      <c r="F141" s="46"/>
      <c r="G141" s="35" t="s">
        <v>230</v>
      </c>
      <c r="H141" s="46"/>
    </row>
    <row r="142" spans="1:13" s="9" customFormat="1" x14ac:dyDescent="0.25">
      <c r="A142" s="35" t="s">
        <v>231</v>
      </c>
      <c r="B142" s="46"/>
      <c r="C142" s="35"/>
      <c r="D142" s="46"/>
      <c r="E142" s="35" t="s">
        <v>232</v>
      </c>
      <c r="F142" s="46"/>
      <c r="G142" s="35" t="s">
        <v>234</v>
      </c>
      <c r="H142" s="46"/>
    </row>
    <row r="143" spans="1:13" s="9" customFormat="1" x14ac:dyDescent="0.25">
      <c r="A143" s="35"/>
      <c r="B143" s="46"/>
      <c r="C143" s="35"/>
      <c r="D143" s="46"/>
      <c r="E143" s="35" t="s">
        <v>236</v>
      </c>
      <c r="F143" s="46"/>
      <c r="G143" s="35" t="s">
        <v>237</v>
      </c>
      <c r="H143" s="46"/>
    </row>
    <row r="144" spans="1:13" s="9" customFormat="1" x14ac:dyDescent="0.25">
      <c r="A144" s="35"/>
      <c r="B144" s="46"/>
      <c r="C144" s="35"/>
      <c r="D144" s="46"/>
      <c r="E144" s="35"/>
      <c r="F144" s="46"/>
      <c r="G144" s="35" t="s">
        <v>154</v>
      </c>
      <c r="H144" s="46"/>
    </row>
    <row r="145" spans="1:13" s="14" customFormat="1" x14ac:dyDescent="0.25">
      <c r="A145" s="47"/>
      <c r="B145" s="48"/>
      <c r="C145" s="47"/>
      <c r="D145" s="48"/>
      <c r="E145" s="47"/>
      <c r="F145" s="48"/>
      <c r="G145" s="47"/>
      <c r="H145" s="49"/>
      <c r="I145" s="9"/>
      <c r="J145" s="9"/>
      <c r="K145" s="9"/>
      <c r="L145" s="9"/>
      <c r="M145" s="9"/>
    </row>
    <row r="146" spans="1:13" s="9" customFormat="1" x14ac:dyDescent="0.25">
      <c r="A146" s="35" t="s">
        <v>208</v>
      </c>
      <c r="B146" s="46"/>
      <c r="C146" s="35" t="s">
        <v>210</v>
      </c>
      <c r="D146" s="46"/>
      <c r="E146" s="35" t="s">
        <v>212</v>
      </c>
      <c r="F146" s="46"/>
      <c r="G146" s="35" t="s">
        <v>214</v>
      </c>
      <c r="H146" s="46"/>
    </row>
    <row r="147" spans="1:13" s="9" customFormat="1" x14ac:dyDescent="0.25">
      <c r="A147" s="35" t="s">
        <v>216</v>
      </c>
      <c r="B147" s="46"/>
      <c r="C147" s="35" t="s">
        <v>218</v>
      </c>
      <c r="D147" s="46"/>
      <c r="E147" s="35" t="s">
        <v>219</v>
      </c>
      <c r="F147" s="46"/>
      <c r="G147" s="35" t="s">
        <v>221</v>
      </c>
      <c r="H147" s="46"/>
    </row>
    <row r="148" spans="1:13" s="9" customFormat="1" x14ac:dyDescent="0.25">
      <c r="A148" s="35" t="s">
        <v>223</v>
      </c>
      <c r="B148" s="46"/>
      <c r="C148" s="35" t="s">
        <v>216</v>
      </c>
      <c r="D148" s="46"/>
      <c r="E148" s="35" t="s">
        <v>218</v>
      </c>
      <c r="F148" s="46"/>
      <c r="G148" s="35" t="s">
        <v>225</v>
      </c>
      <c r="H148" s="46"/>
    </row>
    <row r="149" spans="1:13" s="9" customFormat="1" x14ac:dyDescent="0.25">
      <c r="A149" s="35" t="s">
        <v>226</v>
      </c>
      <c r="B149" s="46"/>
      <c r="C149" s="35" t="s">
        <v>227</v>
      </c>
      <c r="D149" s="46"/>
      <c r="E149" s="35" t="s">
        <v>229</v>
      </c>
      <c r="F149" s="46"/>
      <c r="G149" s="35" t="s">
        <v>230</v>
      </c>
      <c r="H149" s="46"/>
    </row>
    <row r="150" spans="1:13" s="9" customFormat="1" x14ac:dyDescent="0.25">
      <c r="A150" s="35" t="s">
        <v>231</v>
      </c>
      <c r="B150" s="46"/>
      <c r="C150" s="35"/>
      <c r="D150" s="46"/>
      <c r="E150" s="35" t="s">
        <v>232</v>
      </c>
      <c r="F150" s="46"/>
      <c r="G150" s="35" t="s">
        <v>234</v>
      </c>
      <c r="H150" s="46"/>
    </row>
    <row r="151" spans="1:13" s="9" customFormat="1" x14ac:dyDescent="0.25">
      <c r="A151" s="35"/>
      <c r="B151" s="46"/>
      <c r="C151" s="35"/>
      <c r="D151" s="46"/>
      <c r="E151" s="35" t="s">
        <v>236</v>
      </c>
      <c r="F151" s="46"/>
      <c r="G151" s="35" t="s">
        <v>237</v>
      </c>
      <c r="H151" s="46"/>
    </row>
    <row r="152" spans="1:13" s="9" customFormat="1" x14ac:dyDescent="0.25">
      <c r="A152" s="35"/>
      <c r="B152" s="46"/>
      <c r="C152" s="35"/>
      <c r="D152" s="46"/>
      <c r="E152" s="35"/>
      <c r="F152" s="46"/>
      <c r="G152" s="35" t="s">
        <v>154</v>
      </c>
      <c r="H152" s="46"/>
    </row>
    <row r="153" spans="1:13" s="14" customFormat="1" x14ac:dyDescent="0.25">
      <c r="A153" s="47"/>
      <c r="B153" s="48"/>
      <c r="C153" s="47"/>
      <c r="D153" s="48"/>
      <c r="E153" s="47"/>
      <c r="F153" s="48"/>
      <c r="G153" s="47"/>
      <c r="H153" s="49"/>
      <c r="I153" s="9"/>
      <c r="J153" s="9"/>
      <c r="K153" s="9"/>
      <c r="L153" s="9"/>
      <c r="M153" s="9"/>
    </row>
    <row r="154" spans="1:13" s="9" customFormat="1" x14ac:dyDescent="0.25">
      <c r="A154" s="35" t="s">
        <v>208</v>
      </c>
      <c r="B154" s="46"/>
      <c r="C154" s="35" t="s">
        <v>210</v>
      </c>
      <c r="D154" s="46"/>
      <c r="E154" s="35" t="s">
        <v>212</v>
      </c>
      <c r="F154" s="46"/>
      <c r="G154" s="35" t="s">
        <v>214</v>
      </c>
      <c r="H154" s="46"/>
    </row>
    <row r="155" spans="1:13" s="9" customFormat="1" x14ac:dyDescent="0.25">
      <c r="A155" s="35" t="s">
        <v>216</v>
      </c>
      <c r="B155" s="46"/>
      <c r="C155" s="35" t="s">
        <v>218</v>
      </c>
      <c r="D155" s="46"/>
      <c r="E155" s="35" t="s">
        <v>219</v>
      </c>
      <c r="F155" s="46"/>
      <c r="G155" s="35" t="s">
        <v>221</v>
      </c>
      <c r="H155" s="46"/>
    </row>
    <row r="156" spans="1:13" s="9" customFormat="1" x14ac:dyDescent="0.25">
      <c r="A156" s="35" t="s">
        <v>223</v>
      </c>
      <c r="B156" s="46"/>
      <c r="C156" s="35" t="s">
        <v>216</v>
      </c>
      <c r="D156" s="46"/>
      <c r="E156" s="35" t="s">
        <v>218</v>
      </c>
      <c r="F156" s="46"/>
      <c r="G156" s="35" t="s">
        <v>225</v>
      </c>
      <c r="H156" s="46"/>
    </row>
    <row r="157" spans="1:13" s="9" customFormat="1" x14ac:dyDescent="0.25">
      <c r="A157" s="35" t="s">
        <v>226</v>
      </c>
      <c r="B157" s="46"/>
      <c r="C157" s="35" t="s">
        <v>227</v>
      </c>
      <c r="D157" s="46"/>
      <c r="E157" s="35" t="s">
        <v>229</v>
      </c>
      <c r="F157" s="46"/>
      <c r="G157" s="35" t="s">
        <v>230</v>
      </c>
      <c r="H157" s="46"/>
    </row>
    <row r="158" spans="1:13" s="9" customFormat="1" x14ac:dyDescent="0.25">
      <c r="A158" s="35" t="s">
        <v>231</v>
      </c>
      <c r="B158" s="46"/>
      <c r="C158" s="35"/>
      <c r="D158" s="46"/>
      <c r="E158" s="35" t="s">
        <v>232</v>
      </c>
      <c r="F158" s="46"/>
      <c r="G158" s="35" t="s">
        <v>234</v>
      </c>
      <c r="H158" s="46"/>
    </row>
    <row r="159" spans="1:13" s="9" customFormat="1" x14ac:dyDescent="0.25">
      <c r="A159" s="35"/>
      <c r="B159" s="46"/>
      <c r="C159" s="35"/>
      <c r="D159" s="46"/>
      <c r="E159" s="35" t="s">
        <v>236</v>
      </c>
      <c r="F159" s="46"/>
      <c r="G159" s="35" t="s">
        <v>237</v>
      </c>
      <c r="H159" s="46"/>
    </row>
    <row r="160" spans="1:13" s="9" customFormat="1" x14ac:dyDescent="0.25">
      <c r="A160" s="35"/>
      <c r="B160" s="46"/>
      <c r="C160" s="35"/>
      <c r="D160" s="46"/>
      <c r="E160" s="35"/>
      <c r="F160" s="46"/>
      <c r="G160" s="35" t="s">
        <v>154</v>
      </c>
      <c r="H160" s="46"/>
    </row>
    <row r="161" spans="1:13" s="14" customFormat="1" x14ac:dyDescent="0.25">
      <c r="A161" s="47"/>
      <c r="B161" s="48"/>
      <c r="C161" s="47"/>
      <c r="D161" s="48"/>
      <c r="E161" s="47"/>
      <c r="F161" s="48"/>
      <c r="G161" s="47"/>
      <c r="H161" s="49"/>
      <c r="I161" s="9"/>
      <c r="J161" s="9"/>
      <c r="K161" s="9"/>
      <c r="L161" s="9"/>
      <c r="M161" s="9"/>
    </row>
    <row r="162" spans="1:13" s="9" customFormat="1" x14ac:dyDescent="0.25">
      <c r="A162" s="35" t="s">
        <v>208</v>
      </c>
      <c r="B162" s="46"/>
      <c r="C162" s="35" t="s">
        <v>210</v>
      </c>
      <c r="D162" s="46"/>
      <c r="E162" s="35" t="s">
        <v>212</v>
      </c>
      <c r="F162" s="46"/>
      <c r="G162" s="35" t="s">
        <v>214</v>
      </c>
      <c r="H162" s="46"/>
    </row>
    <row r="163" spans="1:13" s="9" customFormat="1" x14ac:dyDescent="0.25">
      <c r="A163" s="35" t="s">
        <v>216</v>
      </c>
      <c r="B163" s="46"/>
      <c r="C163" s="35" t="s">
        <v>218</v>
      </c>
      <c r="D163" s="46"/>
      <c r="E163" s="35" t="s">
        <v>219</v>
      </c>
      <c r="F163" s="46"/>
      <c r="G163" s="35" t="s">
        <v>221</v>
      </c>
      <c r="H163" s="46"/>
    </row>
    <row r="164" spans="1:13" s="9" customFormat="1" x14ac:dyDescent="0.25">
      <c r="A164" s="35" t="s">
        <v>223</v>
      </c>
      <c r="B164" s="46"/>
      <c r="C164" s="35" t="s">
        <v>216</v>
      </c>
      <c r="D164" s="46"/>
      <c r="E164" s="35" t="s">
        <v>218</v>
      </c>
      <c r="F164" s="46"/>
      <c r="G164" s="35" t="s">
        <v>225</v>
      </c>
      <c r="H164" s="46"/>
    </row>
    <row r="165" spans="1:13" s="9" customFormat="1" x14ac:dyDescent="0.25">
      <c r="A165" s="35" t="s">
        <v>226</v>
      </c>
      <c r="B165" s="46"/>
      <c r="C165" s="35" t="s">
        <v>227</v>
      </c>
      <c r="D165" s="46"/>
      <c r="E165" s="35" t="s">
        <v>229</v>
      </c>
      <c r="F165" s="46"/>
      <c r="G165" s="35" t="s">
        <v>230</v>
      </c>
      <c r="H165" s="46"/>
    </row>
    <row r="166" spans="1:13" s="9" customFormat="1" x14ac:dyDescent="0.25">
      <c r="A166" s="35" t="s">
        <v>231</v>
      </c>
      <c r="B166" s="46"/>
      <c r="C166" s="35"/>
      <c r="D166" s="46"/>
      <c r="E166" s="35" t="s">
        <v>232</v>
      </c>
      <c r="F166" s="46"/>
      <c r="G166" s="35" t="s">
        <v>234</v>
      </c>
      <c r="H166" s="46"/>
    </row>
    <row r="167" spans="1:13" s="9" customFormat="1" x14ac:dyDescent="0.25">
      <c r="A167" s="35"/>
      <c r="B167" s="46"/>
      <c r="C167" s="35"/>
      <c r="D167" s="46"/>
      <c r="E167" s="35" t="s">
        <v>236</v>
      </c>
      <c r="F167" s="46"/>
      <c r="G167" s="35" t="s">
        <v>237</v>
      </c>
      <c r="H167" s="46"/>
    </row>
    <row r="168" spans="1:13" s="9" customFormat="1" x14ac:dyDescent="0.25">
      <c r="A168" s="35"/>
      <c r="B168" s="46"/>
      <c r="C168" s="35"/>
      <c r="D168" s="46"/>
      <c r="E168" s="35"/>
      <c r="F168" s="46"/>
      <c r="G168" s="35" t="s">
        <v>154</v>
      </c>
      <c r="H168" s="46"/>
    </row>
    <row r="169" spans="1:13" s="14" customFormat="1" x14ac:dyDescent="0.25">
      <c r="A169" s="47"/>
      <c r="B169" s="48"/>
      <c r="C169" s="47"/>
      <c r="D169" s="48"/>
      <c r="E169" s="47"/>
      <c r="F169" s="48"/>
      <c r="G169" s="47"/>
      <c r="H169" s="49"/>
      <c r="I169" s="9"/>
      <c r="J169" s="9"/>
      <c r="K169" s="9"/>
      <c r="L169" s="9"/>
      <c r="M169" s="9"/>
    </row>
    <row r="170" spans="1:13" s="9" customFormat="1" x14ac:dyDescent="0.25">
      <c r="A170" s="35" t="s">
        <v>208</v>
      </c>
      <c r="B170" s="46"/>
      <c r="C170" s="35" t="s">
        <v>210</v>
      </c>
      <c r="D170" s="46"/>
      <c r="E170" s="35" t="s">
        <v>212</v>
      </c>
      <c r="F170" s="46"/>
      <c r="G170" s="35" t="s">
        <v>214</v>
      </c>
      <c r="H170" s="46"/>
    </row>
    <row r="171" spans="1:13" s="9" customFormat="1" x14ac:dyDescent="0.25">
      <c r="A171" s="35" t="s">
        <v>216</v>
      </c>
      <c r="B171" s="46"/>
      <c r="C171" s="35" t="s">
        <v>218</v>
      </c>
      <c r="D171" s="46"/>
      <c r="E171" s="35" t="s">
        <v>219</v>
      </c>
      <c r="F171" s="46"/>
      <c r="G171" s="35" t="s">
        <v>221</v>
      </c>
      <c r="H171" s="46"/>
    </row>
    <row r="172" spans="1:13" s="9" customFormat="1" x14ac:dyDescent="0.25">
      <c r="A172" s="35" t="s">
        <v>223</v>
      </c>
      <c r="B172" s="46"/>
      <c r="C172" s="35" t="s">
        <v>216</v>
      </c>
      <c r="D172" s="46"/>
      <c r="E172" s="35" t="s">
        <v>218</v>
      </c>
      <c r="F172" s="46"/>
      <c r="G172" s="35" t="s">
        <v>225</v>
      </c>
      <c r="H172" s="46"/>
    </row>
    <row r="173" spans="1:13" s="9" customFormat="1" x14ac:dyDescent="0.25">
      <c r="A173" s="35" t="s">
        <v>226</v>
      </c>
      <c r="B173" s="46"/>
      <c r="C173" s="35" t="s">
        <v>227</v>
      </c>
      <c r="D173" s="46"/>
      <c r="E173" s="35" t="s">
        <v>229</v>
      </c>
      <c r="F173" s="46"/>
      <c r="G173" s="35" t="s">
        <v>230</v>
      </c>
      <c r="H173" s="46"/>
    </row>
    <row r="174" spans="1:13" s="9" customFormat="1" x14ac:dyDescent="0.25">
      <c r="A174" s="35" t="s">
        <v>231</v>
      </c>
      <c r="B174" s="46"/>
      <c r="C174" s="35"/>
      <c r="D174" s="46"/>
      <c r="E174" s="35" t="s">
        <v>232</v>
      </c>
      <c r="F174" s="46"/>
      <c r="G174" s="35" t="s">
        <v>234</v>
      </c>
      <c r="H174" s="46"/>
    </row>
    <row r="175" spans="1:13" s="9" customFormat="1" x14ac:dyDescent="0.25">
      <c r="A175" s="35"/>
      <c r="B175" s="46"/>
      <c r="C175" s="35"/>
      <c r="D175" s="46"/>
      <c r="E175" s="35" t="s">
        <v>236</v>
      </c>
      <c r="F175" s="46"/>
      <c r="G175" s="35" t="s">
        <v>237</v>
      </c>
      <c r="H175" s="46"/>
    </row>
    <row r="176" spans="1:13" s="9" customFormat="1" x14ac:dyDescent="0.25">
      <c r="A176" s="35"/>
      <c r="B176" s="46"/>
      <c r="C176" s="35"/>
      <c r="D176" s="46"/>
      <c r="E176" s="35"/>
      <c r="F176" s="46"/>
      <c r="G176" s="35" t="s">
        <v>154</v>
      </c>
      <c r="H176" s="46"/>
    </row>
    <row r="177" spans="1:13" s="14" customFormat="1" x14ac:dyDescent="0.25">
      <c r="A177" s="47"/>
      <c r="B177" s="48"/>
      <c r="C177" s="47"/>
      <c r="D177" s="48"/>
      <c r="E177" s="47"/>
      <c r="F177" s="48"/>
      <c r="G177" s="47"/>
      <c r="H177" s="49"/>
      <c r="I177" s="9"/>
      <c r="J177" s="9"/>
      <c r="K177" s="9"/>
      <c r="L177" s="9"/>
      <c r="M177" s="9"/>
    </row>
    <row r="178" spans="1:13" s="9" customFormat="1" x14ac:dyDescent="0.25">
      <c r="A178" s="35" t="s">
        <v>208</v>
      </c>
      <c r="B178" s="46"/>
      <c r="C178" s="35" t="s">
        <v>210</v>
      </c>
      <c r="D178" s="46"/>
      <c r="E178" s="35" t="s">
        <v>212</v>
      </c>
      <c r="F178" s="46"/>
      <c r="G178" s="35" t="s">
        <v>214</v>
      </c>
      <c r="H178" s="46"/>
    </row>
    <row r="179" spans="1:13" s="9" customFormat="1" x14ac:dyDescent="0.25">
      <c r="A179" s="35" t="s">
        <v>216</v>
      </c>
      <c r="B179" s="46"/>
      <c r="C179" s="35" t="s">
        <v>218</v>
      </c>
      <c r="D179" s="46"/>
      <c r="E179" s="35" t="s">
        <v>219</v>
      </c>
      <c r="F179" s="46"/>
      <c r="G179" s="35" t="s">
        <v>221</v>
      </c>
      <c r="H179" s="46"/>
    </row>
    <row r="180" spans="1:13" s="9" customFormat="1" x14ac:dyDescent="0.25">
      <c r="A180" s="35" t="s">
        <v>223</v>
      </c>
      <c r="B180" s="46"/>
      <c r="C180" s="35" t="s">
        <v>216</v>
      </c>
      <c r="D180" s="46"/>
      <c r="E180" s="35" t="s">
        <v>218</v>
      </c>
      <c r="F180" s="46"/>
      <c r="G180" s="35" t="s">
        <v>225</v>
      </c>
      <c r="H180" s="46"/>
    </row>
    <row r="181" spans="1:13" s="9" customFormat="1" x14ac:dyDescent="0.25">
      <c r="A181" s="35" t="s">
        <v>226</v>
      </c>
      <c r="B181" s="46"/>
      <c r="C181" s="35" t="s">
        <v>227</v>
      </c>
      <c r="D181" s="46"/>
      <c r="E181" s="35" t="s">
        <v>229</v>
      </c>
      <c r="F181" s="46"/>
      <c r="G181" s="35" t="s">
        <v>230</v>
      </c>
      <c r="H181" s="46"/>
    </row>
    <row r="182" spans="1:13" s="9" customFormat="1" x14ac:dyDescent="0.25">
      <c r="A182" s="35" t="s">
        <v>231</v>
      </c>
      <c r="B182" s="46"/>
      <c r="C182" s="35"/>
      <c r="D182" s="46"/>
      <c r="E182" s="35" t="s">
        <v>232</v>
      </c>
      <c r="F182" s="46"/>
      <c r="G182" s="35" t="s">
        <v>234</v>
      </c>
      <c r="H182" s="46"/>
    </row>
    <row r="183" spans="1:13" s="9" customFormat="1" x14ac:dyDescent="0.25">
      <c r="A183" s="35"/>
      <c r="B183" s="46"/>
      <c r="C183" s="35"/>
      <c r="D183" s="46"/>
      <c r="E183" s="35" t="s">
        <v>236</v>
      </c>
      <c r="F183" s="46"/>
      <c r="G183" s="35" t="s">
        <v>237</v>
      </c>
      <c r="H183" s="46"/>
    </row>
    <row r="184" spans="1:13" s="9" customFormat="1" x14ac:dyDescent="0.25">
      <c r="A184" s="35"/>
      <c r="B184" s="46"/>
      <c r="C184" s="35"/>
      <c r="D184" s="46"/>
      <c r="E184" s="35"/>
      <c r="F184" s="46"/>
      <c r="G184" s="35" t="s">
        <v>154</v>
      </c>
      <c r="H184" s="46"/>
    </row>
    <row r="185" spans="1:13" s="14" customFormat="1" x14ac:dyDescent="0.25">
      <c r="A185" s="47"/>
      <c r="B185" s="48"/>
      <c r="C185" s="47"/>
      <c r="D185" s="48"/>
      <c r="E185" s="47"/>
      <c r="F185" s="48"/>
      <c r="G185" s="47"/>
      <c r="H185" s="49"/>
      <c r="I185" s="9"/>
      <c r="J185" s="9"/>
      <c r="K185" s="9"/>
      <c r="L185" s="9"/>
      <c r="M185" s="9"/>
    </row>
    <row r="186" spans="1:13" s="9" customFormat="1" x14ac:dyDescent="0.25">
      <c r="A186" s="35" t="s">
        <v>208</v>
      </c>
      <c r="B186" s="46"/>
      <c r="C186" s="35" t="s">
        <v>210</v>
      </c>
      <c r="D186" s="46"/>
      <c r="E186" s="35" t="s">
        <v>212</v>
      </c>
      <c r="F186" s="46"/>
      <c r="G186" s="35" t="s">
        <v>214</v>
      </c>
      <c r="H186" s="46"/>
    </row>
    <row r="187" spans="1:13" s="9" customFormat="1" x14ac:dyDescent="0.25">
      <c r="A187" s="35" t="s">
        <v>216</v>
      </c>
      <c r="B187" s="46"/>
      <c r="C187" s="35" t="s">
        <v>218</v>
      </c>
      <c r="D187" s="46"/>
      <c r="E187" s="35" t="s">
        <v>219</v>
      </c>
      <c r="F187" s="46"/>
      <c r="G187" s="35" t="s">
        <v>221</v>
      </c>
      <c r="H187" s="46"/>
    </row>
    <row r="188" spans="1:13" s="9" customFormat="1" x14ac:dyDescent="0.25">
      <c r="A188" s="35" t="s">
        <v>223</v>
      </c>
      <c r="B188" s="46"/>
      <c r="C188" s="35" t="s">
        <v>216</v>
      </c>
      <c r="D188" s="46"/>
      <c r="E188" s="35" t="s">
        <v>218</v>
      </c>
      <c r="F188" s="46"/>
      <c r="G188" s="35" t="s">
        <v>225</v>
      </c>
      <c r="H188" s="46"/>
    </row>
    <row r="189" spans="1:13" s="9" customFormat="1" x14ac:dyDescent="0.25">
      <c r="A189" s="35" t="s">
        <v>226</v>
      </c>
      <c r="B189" s="46"/>
      <c r="C189" s="35" t="s">
        <v>227</v>
      </c>
      <c r="D189" s="46"/>
      <c r="E189" s="35" t="s">
        <v>229</v>
      </c>
      <c r="F189" s="46"/>
      <c r="G189" s="35" t="s">
        <v>230</v>
      </c>
      <c r="H189" s="46"/>
    </row>
    <row r="190" spans="1:13" s="9" customFormat="1" x14ac:dyDescent="0.25">
      <c r="A190" s="35" t="s">
        <v>231</v>
      </c>
      <c r="B190" s="46"/>
      <c r="C190" s="35"/>
      <c r="D190" s="46"/>
      <c r="E190" s="35" t="s">
        <v>232</v>
      </c>
      <c r="F190" s="46"/>
      <c r="G190" s="35" t="s">
        <v>234</v>
      </c>
      <c r="H190" s="46"/>
    </row>
    <row r="191" spans="1:13" s="9" customFormat="1" x14ac:dyDescent="0.25">
      <c r="A191" s="35"/>
      <c r="B191" s="46"/>
      <c r="C191" s="35"/>
      <c r="D191" s="46"/>
      <c r="E191" s="35" t="s">
        <v>236</v>
      </c>
      <c r="F191" s="46"/>
      <c r="G191" s="35" t="s">
        <v>237</v>
      </c>
      <c r="H191" s="46"/>
    </row>
    <row r="192" spans="1:13" s="9" customFormat="1" x14ac:dyDescent="0.25">
      <c r="A192" s="35"/>
      <c r="B192" s="46"/>
      <c r="C192" s="35"/>
      <c r="D192" s="46"/>
      <c r="E192" s="35"/>
      <c r="F192" s="46"/>
      <c r="G192" s="35" t="s">
        <v>154</v>
      </c>
      <c r="H192" s="46"/>
    </row>
    <row r="193" spans="1:13" s="14" customFormat="1" x14ac:dyDescent="0.25">
      <c r="A193" s="47"/>
      <c r="B193" s="48"/>
      <c r="C193" s="47"/>
      <c r="D193" s="48"/>
      <c r="E193" s="47"/>
      <c r="F193" s="48"/>
      <c r="G193" s="47"/>
      <c r="H193" s="49"/>
      <c r="I193" s="9"/>
      <c r="J193" s="9"/>
      <c r="K193" s="9"/>
      <c r="L193" s="9"/>
      <c r="M193" s="9"/>
    </row>
    <row r="194" spans="1:13" s="9" customFormat="1" x14ac:dyDescent="0.25">
      <c r="A194" s="35" t="s">
        <v>208</v>
      </c>
      <c r="B194" s="46"/>
      <c r="C194" s="35" t="s">
        <v>210</v>
      </c>
      <c r="D194" s="46"/>
      <c r="E194" s="35" t="s">
        <v>212</v>
      </c>
      <c r="F194" s="46"/>
      <c r="G194" s="35" t="s">
        <v>214</v>
      </c>
      <c r="H194" s="46"/>
    </row>
    <row r="195" spans="1:13" s="9" customFormat="1" x14ac:dyDescent="0.25">
      <c r="A195" s="35" t="s">
        <v>216</v>
      </c>
      <c r="B195" s="46"/>
      <c r="C195" s="35" t="s">
        <v>218</v>
      </c>
      <c r="D195" s="46"/>
      <c r="E195" s="35" t="s">
        <v>219</v>
      </c>
      <c r="F195" s="46"/>
      <c r="G195" s="35" t="s">
        <v>221</v>
      </c>
      <c r="H195" s="46"/>
    </row>
    <row r="196" spans="1:13" s="9" customFormat="1" x14ac:dyDescent="0.25">
      <c r="A196" s="35" t="s">
        <v>223</v>
      </c>
      <c r="B196" s="46"/>
      <c r="C196" s="35" t="s">
        <v>216</v>
      </c>
      <c r="D196" s="46"/>
      <c r="E196" s="35" t="s">
        <v>218</v>
      </c>
      <c r="F196" s="46"/>
      <c r="G196" s="35" t="s">
        <v>225</v>
      </c>
      <c r="H196" s="46"/>
    </row>
    <row r="197" spans="1:13" s="9" customFormat="1" x14ac:dyDescent="0.25">
      <c r="A197" s="35" t="s">
        <v>226</v>
      </c>
      <c r="B197" s="46"/>
      <c r="C197" s="35" t="s">
        <v>227</v>
      </c>
      <c r="D197" s="46"/>
      <c r="E197" s="35" t="s">
        <v>229</v>
      </c>
      <c r="F197" s="46"/>
      <c r="G197" s="35" t="s">
        <v>230</v>
      </c>
      <c r="H197" s="46"/>
    </row>
    <row r="198" spans="1:13" s="9" customFormat="1" x14ac:dyDescent="0.25">
      <c r="A198" s="35" t="s">
        <v>231</v>
      </c>
      <c r="B198" s="46"/>
      <c r="C198" s="35"/>
      <c r="D198" s="46"/>
      <c r="E198" s="35" t="s">
        <v>232</v>
      </c>
      <c r="F198" s="46"/>
      <c r="G198" s="35" t="s">
        <v>234</v>
      </c>
      <c r="H198" s="46"/>
    </row>
    <row r="199" spans="1:13" s="9" customFormat="1" x14ac:dyDescent="0.25">
      <c r="A199" s="35"/>
      <c r="B199" s="46"/>
      <c r="C199" s="35"/>
      <c r="D199" s="46"/>
      <c r="E199" s="35" t="s">
        <v>236</v>
      </c>
      <c r="F199" s="46"/>
      <c r="G199" s="35" t="s">
        <v>237</v>
      </c>
      <c r="H199" s="46"/>
    </row>
    <row r="200" spans="1:13" s="9" customFormat="1" x14ac:dyDescent="0.25">
      <c r="A200" s="35"/>
      <c r="B200" s="46"/>
      <c r="C200" s="35"/>
      <c r="D200" s="46"/>
      <c r="E200" s="35"/>
      <c r="F200" s="46"/>
      <c r="G200" s="35" t="s">
        <v>154</v>
      </c>
      <c r="H200" s="46"/>
    </row>
    <row r="201" spans="1:13" s="14" customFormat="1" x14ac:dyDescent="0.25">
      <c r="A201" s="47"/>
      <c r="B201" s="48"/>
      <c r="C201" s="47"/>
      <c r="D201" s="48"/>
      <c r="E201" s="47"/>
      <c r="F201" s="48"/>
      <c r="G201" s="47"/>
      <c r="H201" s="49"/>
      <c r="I201" s="9"/>
      <c r="J201" s="9"/>
      <c r="K201" s="9"/>
      <c r="L201" s="9"/>
      <c r="M201" s="9"/>
    </row>
    <row r="202" spans="1:13" s="9" customFormat="1" x14ac:dyDescent="0.25">
      <c r="A202" s="35" t="s">
        <v>208</v>
      </c>
      <c r="B202" s="46"/>
      <c r="C202" s="35" t="s">
        <v>210</v>
      </c>
      <c r="D202" s="46"/>
      <c r="E202" s="35" t="s">
        <v>212</v>
      </c>
      <c r="F202" s="46"/>
      <c r="G202" s="35" t="s">
        <v>214</v>
      </c>
      <c r="H202" s="46"/>
    </row>
    <row r="203" spans="1:13" s="9" customFormat="1" x14ac:dyDescent="0.25">
      <c r="A203" s="35" t="s">
        <v>216</v>
      </c>
      <c r="B203" s="46"/>
      <c r="C203" s="35" t="s">
        <v>218</v>
      </c>
      <c r="D203" s="46"/>
      <c r="E203" s="35" t="s">
        <v>219</v>
      </c>
      <c r="F203" s="46"/>
      <c r="G203" s="35" t="s">
        <v>221</v>
      </c>
      <c r="H203" s="46"/>
    </row>
    <row r="204" spans="1:13" s="9" customFormat="1" x14ac:dyDescent="0.25">
      <c r="A204" s="35" t="s">
        <v>223</v>
      </c>
      <c r="B204" s="46"/>
      <c r="C204" s="35" t="s">
        <v>216</v>
      </c>
      <c r="D204" s="46"/>
      <c r="E204" s="35" t="s">
        <v>218</v>
      </c>
      <c r="F204" s="46"/>
      <c r="G204" s="35" t="s">
        <v>225</v>
      </c>
      <c r="H204" s="46"/>
    </row>
    <row r="205" spans="1:13" s="9" customFormat="1" x14ac:dyDescent="0.25">
      <c r="A205" s="35" t="s">
        <v>226</v>
      </c>
      <c r="B205" s="46"/>
      <c r="C205" s="35" t="s">
        <v>227</v>
      </c>
      <c r="D205" s="46"/>
      <c r="E205" s="35" t="s">
        <v>229</v>
      </c>
      <c r="F205" s="46"/>
      <c r="G205" s="35" t="s">
        <v>230</v>
      </c>
      <c r="H205" s="46"/>
    </row>
    <row r="206" spans="1:13" s="9" customFormat="1" x14ac:dyDescent="0.25">
      <c r="A206" s="35" t="s">
        <v>231</v>
      </c>
      <c r="B206" s="46"/>
      <c r="C206" s="35"/>
      <c r="D206" s="46"/>
      <c r="E206" s="35" t="s">
        <v>232</v>
      </c>
      <c r="F206" s="46"/>
      <c r="G206" s="35" t="s">
        <v>234</v>
      </c>
      <c r="H206" s="46"/>
    </row>
    <row r="207" spans="1:13" s="9" customFormat="1" x14ac:dyDescent="0.25">
      <c r="A207" s="35"/>
      <c r="B207" s="46"/>
      <c r="C207" s="35"/>
      <c r="D207" s="46"/>
      <c r="E207" s="35" t="s">
        <v>236</v>
      </c>
      <c r="F207" s="46"/>
      <c r="G207" s="35" t="s">
        <v>237</v>
      </c>
      <c r="H207" s="46"/>
    </row>
    <row r="208" spans="1:13" s="9" customFormat="1" x14ac:dyDescent="0.25">
      <c r="A208" s="35"/>
      <c r="B208" s="46"/>
      <c r="C208" s="35"/>
      <c r="D208" s="46"/>
      <c r="E208" s="35"/>
      <c r="F208" s="46"/>
      <c r="G208" s="35" t="s">
        <v>154</v>
      </c>
      <c r="H208" s="46"/>
    </row>
    <row r="209" spans="1:13" s="14" customFormat="1" x14ac:dyDescent="0.25">
      <c r="A209" s="47"/>
      <c r="B209" s="48"/>
      <c r="C209" s="47"/>
      <c r="D209" s="48"/>
      <c r="E209" s="47"/>
      <c r="F209" s="48"/>
      <c r="G209" s="47"/>
      <c r="H209" s="49"/>
      <c r="I209" s="9"/>
      <c r="J209" s="9"/>
      <c r="K209" s="9"/>
      <c r="L209" s="9"/>
      <c r="M209" s="9"/>
    </row>
    <row r="210" spans="1:13" s="9" customFormat="1" x14ac:dyDescent="0.25">
      <c r="A210" s="35" t="s">
        <v>208</v>
      </c>
      <c r="B210" s="46"/>
      <c r="C210" s="35" t="s">
        <v>210</v>
      </c>
      <c r="D210" s="46"/>
      <c r="E210" s="35" t="s">
        <v>212</v>
      </c>
      <c r="F210" s="46"/>
      <c r="G210" s="35" t="s">
        <v>214</v>
      </c>
      <c r="H210" s="46"/>
    </row>
    <row r="211" spans="1:13" s="9" customFormat="1" x14ac:dyDescent="0.25">
      <c r="A211" s="35" t="s">
        <v>216</v>
      </c>
      <c r="B211" s="46"/>
      <c r="C211" s="35" t="s">
        <v>218</v>
      </c>
      <c r="D211" s="46"/>
      <c r="E211" s="35" t="s">
        <v>219</v>
      </c>
      <c r="F211" s="46"/>
      <c r="G211" s="35" t="s">
        <v>221</v>
      </c>
      <c r="H211" s="46"/>
    </row>
    <row r="212" spans="1:13" s="9" customFormat="1" x14ac:dyDescent="0.25">
      <c r="A212" s="35" t="s">
        <v>223</v>
      </c>
      <c r="B212" s="46"/>
      <c r="C212" s="35" t="s">
        <v>216</v>
      </c>
      <c r="D212" s="46"/>
      <c r="E212" s="35" t="s">
        <v>218</v>
      </c>
      <c r="F212" s="46"/>
      <c r="G212" s="35" t="s">
        <v>225</v>
      </c>
      <c r="H212" s="46"/>
    </row>
    <row r="213" spans="1:13" s="9" customFormat="1" x14ac:dyDescent="0.25">
      <c r="A213" s="35" t="s">
        <v>226</v>
      </c>
      <c r="B213" s="46"/>
      <c r="C213" s="35" t="s">
        <v>227</v>
      </c>
      <c r="D213" s="46"/>
      <c r="E213" s="35" t="s">
        <v>229</v>
      </c>
      <c r="F213" s="46"/>
      <c r="G213" s="35" t="s">
        <v>230</v>
      </c>
      <c r="H213" s="46"/>
    </row>
    <row r="214" spans="1:13" s="9" customFormat="1" x14ac:dyDescent="0.25">
      <c r="A214" s="35" t="s">
        <v>231</v>
      </c>
      <c r="B214" s="46"/>
      <c r="C214" s="35"/>
      <c r="D214" s="46"/>
      <c r="E214" s="35" t="s">
        <v>232</v>
      </c>
      <c r="F214" s="46"/>
      <c r="G214" s="35" t="s">
        <v>234</v>
      </c>
      <c r="H214" s="46"/>
    </row>
    <row r="215" spans="1:13" s="9" customFormat="1" x14ac:dyDescent="0.25">
      <c r="A215" s="35"/>
      <c r="B215" s="46"/>
      <c r="C215" s="35"/>
      <c r="D215" s="46"/>
      <c r="E215" s="35" t="s">
        <v>236</v>
      </c>
      <c r="F215" s="46"/>
      <c r="G215" s="35" t="s">
        <v>237</v>
      </c>
      <c r="H215" s="46"/>
    </row>
    <row r="216" spans="1:13" s="9" customFormat="1" x14ac:dyDescent="0.25">
      <c r="A216" s="35"/>
      <c r="B216" s="46"/>
      <c r="C216" s="35"/>
      <c r="D216" s="46"/>
      <c r="E216" s="35"/>
      <c r="F216" s="46"/>
      <c r="G216" s="35" t="s">
        <v>154</v>
      </c>
      <c r="H216" s="46"/>
    </row>
    <row r="217" spans="1:13" s="14" customFormat="1" x14ac:dyDescent="0.25">
      <c r="A217" s="47"/>
      <c r="B217" s="48"/>
      <c r="C217" s="47"/>
      <c r="D217" s="48"/>
      <c r="E217" s="47"/>
      <c r="F217" s="48"/>
      <c r="G217" s="47"/>
      <c r="H217" s="49"/>
      <c r="I217" s="9"/>
      <c r="J217" s="9"/>
      <c r="K217" s="9"/>
      <c r="L217" s="9"/>
      <c r="M217" s="9"/>
    </row>
    <row r="218" spans="1:13" s="9" customFormat="1" x14ac:dyDescent="0.25">
      <c r="A218" s="35" t="s">
        <v>208</v>
      </c>
      <c r="B218" s="46"/>
      <c r="C218" s="35" t="s">
        <v>210</v>
      </c>
      <c r="D218" s="46"/>
      <c r="E218" s="35" t="s">
        <v>212</v>
      </c>
      <c r="F218" s="46"/>
      <c r="G218" s="35" t="s">
        <v>214</v>
      </c>
      <c r="H218" s="46"/>
    </row>
    <row r="219" spans="1:13" s="9" customFormat="1" x14ac:dyDescent="0.25">
      <c r="A219" s="35" t="s">
        <v>216</v>
      </c>
      <c r="B219" s="46"/>
      <c r="C219" s="35" t="s">
        <v>218</v>
      </c>
      <c r="D219" s="46"/>
      <c r="E219" s="35" t="s">
        <v>219</v>
      </c>
      <c r="F219" s="46"/>
      <c r="G219" s="35" t="s">
        <v>221</v>
      </c>
      <c r="H219" s="46"/>
    </row>
    <row r="220" spans="1:13" s="9" customFormat="1" x14ac:dyDescent="0.25">
      <c r="A220" s="35" t="s">
        <v>223</v>
      </c>
      <c r="B220" s="46"/>
      <c r="C220" s="35" t="s">
        <v>216</v>
      </c>
      <c r="D220" s="46"/>
      <c r="E220" s="35" t="s">
        <v>218</v>
      </c>
      <c r="F220" s="46"/>
      <c r="G220" s="35" t="s">
        <v>225</v>
      </c>
      <c r="H220" s="46"/>
    </row>
    <row r="221" spans="1:13" s="9" customFormat="1" x14ac:dyDescent="0.25">
      <c r="A221" s="35" t="s">
        <v>226</v>
      </c>
      <c r="B221" s="46"/>
      <c r="C221" s="35" t="s">
        <v>227</v>
      </c>
      <c r="D221" s="46"/>
      <c r="E221" s="35" t="s">
        <v>229</v>
      </c>
      <c r="F221" s="46"/>
      <c r="G221" s="35" t="s">
        <v>230</v>
      </c>
      <c r="H221" s="46"/>
    </row>
    <row r="222" spans="1:13" s="9" customFormat="1" x14ac:dyDescent="0.25">
      <c r="A222" s="35" t="s">
        <v>231</v>
      </c>
      <c r="B222" s="46"/>
      <c r="C222" s="35"/>
      <c r="D222" s="46"/>
      <c r="E222" s="35" t="s">
        <v>232</v>
      </c>
      <c r="F222" s="46"/>
      <c r="G222" s="35" t="s">
        <v>234</v>
      </c>
      <c r="H222" s="46"/>
    </row>
    <row r="223" spans="1:13" s="9" customFormat="1" x14ac:dyDescent="0.25">
      <c r="A223" s="35"/>
      <c r="B223" s="46"/>
      <c r="C223" s="35"/>
      <c r="D223" s="46"/>
      <c r="E223" s="35" t="s">
        <v>236</v>
      </c>
      <c r="F223" s="46"/>
      <c r="G223" s="35" t="s">
        <v>237</v>
      </c>
      <c r="H223" s="46"/>
    </row>
    <row r="224" spans="1:13" s="9" customFormat="1" x14ac:dyDescent="0.25">
      <c r="A224" s="35"/>
      <c r="B224" s="46"/>
      <c r="C224" s="35"/>
      <c r="D224" s="46"/>
      <c r="E224" s="35"/>
      <c r="F224" s="46"/>
      <c r="G224" s="35" t="s">
        <v>154</v>
      </c>
      <c r="H224" s="46"/>
    </row>
    <row r="225" spans="1:13" s="14" customFormat="1" x14ac:dyDescent="0.25">
      <c r="A225" s="47"/>
      <c r="B225" s="48"/>
      <c r="C225" s="47"/>
      <c r="D225" s="48"/>
      <c r="E225" s="47"/>
      <c r="F225" s="48"/>
      <c r="G225" s="47"/>
      <c r="H225" s="49"/>
      <c r="I225" s="9"/>
      <c r="J225" s="9"/>
      <c r="K225" s="9"/>
      <c r="L225" s="9"/>
      <c r="M225" s="9"/>
    </row>
    <row r="226" spans="1:13" s="9" customFormat="1" x14ac:dyDescent="0.25">
      <c r="A226" s="35" t="s">
        <v>208</v>
      </c>
      <c r="B226" s="46"/>
      <c r="C226" s="35" t="s">
        <v>210</v>
      </c>
      <c r="D226" s="46"/>
      <c r="E226" s="35" t="s">
        <v>212</v>
      </c>
      <c r="F226" s="46"/>
      <c r="G226" s="35" t="s">
        <v>214</v>
      </c>
      <c r="H226" s="46"/>
    </row>
    <row r="227" spans="1:13" s="9" customFormat="1" x14ac:dyDescent="0.25">
      <c r="A227" s="35" t="s">
        <v>216</v>
      </c>
      <c r="B227" s="46"/>
      <c r="C227" s="35" t="s">
        <v>218</v>
      </c>
      <c r="D227" s="46"/>
      <c r="E227" s="35" t="s">
        <v>219</v>
      </c>
      <c r="F227" s="46"/>
      <c r="G227" s="35" t="s">
        <v>221</v>
      </c>
      <c r="H227" s="46"/>
    </row>
    <row r="228" spans="1:13" s="9" customFormat="1" x14ac:dyDescent="0.25">
      <c r="A228" s="35" t="s">
        <v>223</v>
      </c>
      <c r="B228" s="46"/>
      <c r="C228" s="35" t="s">
        <v>216</v>
      </c>
      <c r="D228" s="46"/>
      <c r="E228" s="35" t="s">
        <v>218</v>
      </c>
      <c r="F228" s="46"/>
      <c r="G228" s="35" t="s">
        <v>225</v>
      </c>
      <c r="H228" s="46"/>
    </row>
    <row r="229" spans="1:13" s="9" customFormat="1" x14ac:dyDescent="0.25">
      <c r="A229" s="35" t="s">
        <v>226</v>
      </c>
      <c r="B229" s="46"/>
      <c r="C229" s="35" t="s">
        <v>227</v>
      </c>
      <c r="D229" s="46"/>
      <c r="E229" s="35" t="s">
        <v>229</v>
      </c>
      <c r="F229" s="46"/>
      <c r="G229" s="35" t="s">
        <v>230</v>
      </c>
      <c r="H229" s="46"/>
    </row>
    <row r="230" spans="1:13" s="9" customFormat="1" x14ac:dyDescent="0.25">
      <c r="A230" s="35" t="s">
        <v>231</v>
      </c>
      <c r="B230" s="46"/>
      <c r="C230" s="35"/>
      <c r="D230" s="46"/>
      <c r="E230" s="35" t="s">
        <v>232</v>
      </c>
      <c r="F230" s="46"/>
      <c r="G230" s="35" t="s">
        <v>234</v>
      </c>
      <c r="H230" s="46"/>
    </row>
    <row r="231" spans="1:13" s="9" customFormat="1" x14ac:dyDescent="0.25">
      <c r="A231" s="35"/>
      <c r="B231" s="46"/>
      <c r="C231" s="35"/>
      <c r="D231" s="46"/>
      <c r="E231" s="35" t="s">
        <v>236</v>
      </c>
      <c r="F231" s="46"/>
      <c r="G231" s="35" t="s">
        <v>237</v>
      </c>
      <c r="H231" s="46"/>
    </row>
    <row r="232" spans="1:13" s="9" customFormat="1" x14ac:dyDescent="0.25">
      <c r="A232" s="35"/>
      <c r="B232" s="46"/>
      <c r="C232" s="35"/>
      <c r="D232" s="46"/>
      <c r="E232" s="35"/>
      <c r="F232" s="46"/>
      <c r="G232" s="35" t="s">
        <v>154</v>
      </c>
      <c r="H232" s="46"/>
    </row>
    <row r="233" spans="1:13" s="14" customFormat="1" x14ac:dyDescent="0.25">
      <c r="A233" s="47"/>
      <c r="B233" s="48"/>
      <c r="C233" s="47"/>
      <c r="D233" s="48"/>
      <c r="E233" s="47"/>
      <c r="F233" s="48"/>
      <c r="G233" s="47"/>
      <c r="H233" s="49"/>
      <c r="I233" s="9"/>
      <c r="J233" s="9"/>
      <c r="K233" s="9"/>
      <c r="L233" s="9"/>
      <c r="M233" s="9"/>
    </row>
    <row r="234" spans="1:13" s="9" customFormat="1" x14ac:dyDescent="0.25">
      <c r="A234" s="35" t="s">
        <v>208</v>
      </c>
      <c r="B234" s="46"/>
      <c r="C234" s="35" t="s">
        <v>210</v>
      </c>
      <c r="D234" s="46"/>
      <c r="E234" s="35" t="s">
        <v>212</v>
      </c>
      <c r="F234" s="46"/>
      <c r="G234" s="35" t="s">
        <v>214</v>
      </c>
      <c r="H234" s="46"/>
    </row>
    <row r="235" spans="1:13" s="9" customFormat="1" x14ac:dyDescent="0.25">
      <c r="A235" s="35" t="s">
        <v>216</v>
      </c>
      <c r="B235" s="46"/>
      <c r="C235" s="35" t="s">
        <v>218</v>
      </c>
      <c r="D235" s="46"/>
      <c r="E235" s="35" t="s">
        <v>219</v>
      </c>
      <c r="F235" s="46"/>
      <c r="G235" s="35" t="s">
        <v>221</v>
      </c>
      <c r="H235" s="46"/>
    </row>
    <row r="236" spans="1:13" s="9" customFormat="1" x14ac:dyDescent="0.25">
      <c r="A236" s="35" t="s">
        <v>223</v>
      </c>
      <c r="B236" s="46"/>
      <c r="C236" s="35" t="s">
        <v>216</v>
      </c>
      <c r="D236" s="46"/>
      <c r="E236" s="35" t="s">
        <v>218</v>
      </c>
      <c r="F236" s="46"/>
      <c r="G236" s="35" t="s">
        <v>225</v>
      </c>
      <c r="H236" s="46"/>
    </row>
    <row r="237" spans="1:13" s="9" customFormat="1" x14ac:dyDescent="0.25">
      <c r="A237" s="35" t="s">
        <v>226</v>
      </c>
      <c r="B237" s="46"/>
      <c r="C237" s="35" t="s">
        <v>227</v>
      </c>
      <c r="D237" s="46"/>
      <c r="E237" s="35" t="s">
        <v>229</v>
      </c>
      <c r="F237" s="46"/>
      <c r="G237" s="35" t="s">
        <v>230</v>
      </c>
      <c r="H237" s="46"/>
    </row>
    <row r="238" spans="1:13" s="9" customFormat="1" x14ac:dyDescent="0.25">
      <c r="A238" s="35" t="s">
        <v>231</v>
      </c>
      <c r="B238" s="46"/>
      <c r="C238" s="35"/>
      <c r="D238" s="46"/>
      <c r="E238" s="35" t="s">
        <v>232</v>
      </c>
      <c r="F238" s="46"/>
      <c r="G238" s="35" t="s">
        <v>234</v>
      </c>
      <c r="H238" s="46"/>
    </row>
    <row r="239" spans="1:13" s="9" customFormat="1" x14ac:dyDescent="0.25">
      <c r="A239" s="35"/>
      <c r="B239" s="46"/>
      <c r="C239" s="35"/>
      <c r="D239" s="46"/>
      <c r="E239" s="35" t="s">
        <v>236</v>
      </c>
      <c r="F239" s="46"/>
      <c r="G239" s="35" t="s">
        <v>237</v>
      </c>
      <c r="H239" s="46"/>
    </row>
    <row r="240" spans="1:13" s="9" customFormat="1" x14ac:dyDescent="0.25">
      <c r="A240" s="35"/>
      <c r="B240" s="46"/>
      <c r="C240" s="35"/>
      <c r="D240" s="46"/>
      <c r="E240" s="35"/>
      <c r="F240" s="46"/>
      <c r="G240" s="35" t="s">
        <v>154</v>
      </c>
      <c r="H240" s="46"/>
    </row>
    <row r="241" spans="1:13" s="14" customFormat="1" x14ac:dyDescent="0.25">
      <c r="A241" s="47"/>
      <c r="B241" s="48"/>
      <c r="C241" s="47"/>
      <c r="D241" s="48"/>
      <c r="E241" s="47"/>
      <c r="F241" s="48"/>
      <c r="G241" s="47"/>
      <c r="H241" s="49"/>
      <c r="I241" s="9"/>
      <c r="J241" s="9"/>
      <c r="K241" s="9"/>
      <c r="L241" s="9"/>
      <c r="M241" s="9"/>
    </row>
    <row r="242" spans="1:13" s="9" customFormat="1" x14ac:dyDescent="0.25">
      <c r="A242" s="35" t="s">
        <v>208</v>
      </c>
      <c r="B242" s="46"/>
      <c r="C242" s="35" t="s">
        <v>210</v>
      </c>
      <c r="D242" s="46"/>
      <c r="E242" s="35" t="s">
        <v>212</v>
      </c>
      <c r="F242" s="46"/>
      <c r="G242" s="35" t="s">
        <v>214</v>
      </c>
      <c r="H242" s="46"/>
    </row>
    <row r="243" spans="1:13" s="9" customFormat="1" x14ac:dyDescent="0.25">
      <c r="A243" s="35" t="s">
        <v>216</v>
      </c>
      <c r="B243" s="46"/>
      <c r="C243" s="35" t="s">
        <v>218</v>
      </c>
      <c r="D243" s="46"/>
      <c r="E243" s="35" t="s">
        <v>219</v>
      </c>
      <c r="F243" s="46"/>
      <c r="G243" s="35" t="s">
        <v>221</v>
      </c>
      <c r="H243" s="46"/>
    </row>
    <row r="244" spans="1:13" s="9" customFormat="1" x14ac:dyDescent="0.25">
      <c r="A244" s="35" t="s">
        <v>223</v>
      </c>
      <c r="B244" s="46"/>
      <c r="C244" s="35" t="s">
        <v>216</v>
      </c>
      <c r="D244" s="46"/>
      <c r="E244" s="35" t="s">
        <v>218</v>
      </c>
      <c r="F244" s="46"/>
      <c r="G244" s="35" t="s">
        <v>225</v>
      </c>
      <c r="H244" s="46"/>
    </row>
    <row r="245" spans="1:13" s="9" customFormat="1" x14ac:dyDescent="0.25">
      <c r="A245" s="35" t="s">
        <v>226</v>
      </c>
      <c r="B245" s="46"/>
      <c r="C245" s="35" t="s">
        <v>227</v>
      </c>
      <c r="D245" s="46"/>
      <c r="E245" s="35" t="s">
        <v>229</v>
      </c>
      <c r="F245" s="46"/>
      <c r="G245" s="35" t="s">
        <v>230</v>
      </c>
      <c r="H245" s="46"/>
    </row>
    <row r="246" spans="1:13" s="9" customFormat="1" x14ac:dyDescent="0.25">
      <c r="A246" s="35" t="s">
        <v>231</v>
      </c>
      <c r="B246" s="46"/>
      <c r="C246" s="35"/>
      <c r="D246" s="46"/>
      <c r="E246" s="35" t="s">
        <v>232</v>
      </c>
      <c r="F246" s="46"/>
      <c r="G246" s="35" t="s">
        <v>234</v>
      </c>
      <c r="H246" s="46"/>
    </row>
    <row r="247" spans="1:13" s="9" customFormat="1" x14ac:dyDescent="0.25">
      <c r="A247" s="35"/>
      <c r="B247" s="46"/>
      <c r="C247" s="35"/>
      <c r="D247" s="46"/>
      <c r="E247" s="35" t="s">
        <v>236</v>
      </c>
      <c r="F247" s="46"/>
      <c r="G247" s="35" t="s">
        <v>237</v>
      </c>
      <c r="H247" s="46"/>
    </row>
    <row r="248" spans="1:13" s="9" customFormat="1" x14ac:dyDescent="0.25">
      <c r="A248" s="35"/>
      <c r="B248" s="46"/>
      <c r="C248" s="35"/>
      <c r="D248" s="46"/>
      <c r="E248" s="35"/>
      <c r="F248" s="46"/>
      <c r="G248" s="35" t="s">
        <v>154</v>
      </c>
      <c r="H248" s="46"/>
    </row>
    <row r="249" spans="1:13" s="24" customFormat="1" x14ac:dyDescent="0.25">
      <c r="A249" s="35"/>
      <c r="B249" s="36"/>
      <c r="C249" s="35"/>
      <c r="D249" s="36"/>
      <c r="E249" s="35"/>
      <c r="F249" s="36"/>
      <c r="G249" s="35"/>
      <c r="H249" s="36"/>
    </row>
    <row r="250" spans="1:13" s="9" customFormat="1" x14ac:dyDescent="0.25">
      <c r="A250" s="35" t="s">
        <v>208</v>
      </c>
      <c r="B250" s="46"/>
      <c r="C250" s="35" t="s">
        <v>210</v>
      </c>
      <c r="D250" s="46"/>
      <c r="E250" s="35" t="s">
        <v>212</v>
      </c>
      <c r="F250" s="46"/>
      <c r="G250" s="35" t="s">
        <v>214</v>
      </c>
      <c r="H250" s="46"/>
    </row>
    <row r="251" spans="1:13" s="9" customFormat="1" x14ac:dyDescent="0.25">
      <c r="A251" s="35" t="s">
        <v>216</v>
      </c>
      <c r="B251" s="46"/>
      <c r="C251" s="35" t="s">
        <v>218</v>
      </c>
      <c r="D251" s="46"/>
      <c r="E251" s="35" t="s">
        <v>219</v>
      </c>
      <c r="F251" s="46"/>
      <c r="G251" s="35" t="s">
        <v>221</v>
      </c>
      <c r="H251" s="46"/>
    </row>
    <row r="252" spans="1:13" s="9" customFormat="1" x14ac:dyDescent="0.25">
      <c r="A252" s="35" t="s">
        <v>223</v>
      </c>
      <c r="B252" s="46"/>
      <c r="C252" s="35" t="s">
        <v>216</v>
      </c>
      <c r="D252" s="46"/>
      <c r="E252" s="35" t="s">
        <v>218</v>
      </c>
      <c r="F252" s="46"/>
      <c r="G252" s="35" t="s">
        <v>225</v>
      </c>
      <c r="H252" s="46"/>
    </row>
    <row r="253" spans="1:13" s="9" customFormat="1" x14ac:dyDescent="0.25">
      <c r="A253" s="35" t="s">
        <v>226</v>
      </c>
      <c r="B253" s="46"/>
      <c r="C253" s="35" t="s">
        <v>227</v>
      </c>
      <c r="D253" s="46"/>
      <c r="E253" s="35" t="s">
        <v>229</v>
      </c>
      <c r="F253" s="46"/>
      <c r="G253" s="35" t="s">
        <v>230</v>
      </c>
      <c r="H253" s="46"/>
    </row>
    <row r="254" spans="1:13" s="9" customFormat="1" x14ac:dyDescent="0.25">
      <c r="A254" s="35" t="s">
        <v>231</v>
      </c>
      <c r="B254" s="46"/>
      <c r="C254" s="35"/>
      <c r="D254" s="46"/>
      <c r="E254" s="35" t="s">
        <v>232</v>
      </c>
      <c r="F254" s="46"/>
      <c r="G254" s="35" t="s">
        <v>234</v>
      </c>
      <c r="H254" s="46"/>
    </row>
    <row r="255" spans="1:13" s="9" customFormat="1" x14ac:dyDescent="0.25">
      <c r="A255" s="35"/>
      <c r="B255" s="46"/>
      <c r="C255" s="35"/>
      <c r="D255" s="46"/>
      <c r="E255" s="35" t="s">
        <v>236</v>
      </c>
      <c r="F255" s="46"/>
      <c r="G255" s="35" t="s">
        <v>237</v>
      </c>
      <c r="H255" s="46"/>
    </row>
    <row r="256" spans="1:13" s="9" customFormat="1" x14ac:dyDescent="0.25">
      <c r="A256" s="35"/>
      <c r="B256" s="46"/>
      <c r="C256" s="35"/>
      <c r="D256" s="46"/>
      <c r="E256" s="35"/>
      <c r="F256" s="46"/>
      <c r="G256" s="35" t="s">
        <v>154</v>
      </c>
      <c r="H256" s="46"/>
    </row>
    <row r="257" spans="1:13" s="14" customFormat="1" x14ac:dyDescent="0.25">
      <c r="A257" s="47"/>
      <c r="B257" s="48"/>
      <c r="C257" s="47"/>
      <c r="D257" s="48"/>
      <c r="E257" s="47"/>
      <c r="F257" s="48"/>
      <c r="G257" s="47"/>
      <c r="H257" s="49"/>
      <c r="I257" s="9"/>
      <c r="J257" s="9"/>
      <c r="K257" s="9"/>
      <c r="L257" s="9"/>
      <c r="M257" s="9"/>
    </row>
    <row r="258" spans="1:13" s="9" customFormat="1" x14ac:dyDescent="0.25">
      <c r="A258" s="35" t="s">
        <v>208</v>
      </c>
      <c r="B258" s="46"/>
      <c r="C258" s="35" t="s">
        <v>210</v>
      </c>
      <c r="D258" s="46"/>
      <c r="E258" s="35" t="s">
        <v>212</v>
      </c>
      <c r="F258" s="46"/>
      <c r="G258" s="35" t="s">
        <v>214</v>
      </c>
      <c r="H258" s="46"/>
    </row>
    <row r="259" spans="1:13" s="9" customFormat="1" x14ac:dyDescent="0.25">
      <c r="A259" s="35" t="s">
        <v>216</v>
      </c>
      <c r="B259" s="46"/>
      <c r="C259" s="35" t="s">
        <v>218</v>
      </c>
      <c r="D259" s="46"/>
      <c r="E259" s="35" t="s">
        <v>219</v>
      </c>
      <c r="F259" s="46"/>
      <c r="G259" s="35" t="s">
        <v>221</v>
      </c>
      <c r="H259" s="46"/>
    </row>
    <row r="260" spans="1:13" s="9" customFormat="1" x14ac:dyDescent="0.25">
      <c r="A260" s="35" t="s">
        <v>223</v>
      </c>
      <c r="B260" s="46"/>
      <c r="C260" s="35" t="s">
        <v>216</v>
      </c>
      <c r="D260" s="46"/>
      <c r="E260" s="35" t="s">
        <v>218</v>
      </c>
      <c r="F260" s="46"/>
      <c r="G260" s="35" t="s">
        <v>225</v>
      </c>
      <c r="H260" s="46"/>
    </row>
    <row r="261" spans="1:13" s="9" customFormat="1" x14ac:dyDescent="0.25">
      <c r="A261" s="35" t="s">
        <v>226</v>
      </c>
      <c r="B261" s="46"/>
      <c r="C261" s="35" t="s">
        <v>227</v>
      </c>
      <c r="D261" s="46"/>
      <c r="E261" s="35" t="s">
        <v>229</v>
      </c>
      <c r="F261" s="46"/>
      <c r="G261" s="35" t="s">
        <v>230</v>
      </c>
      <c r="H261" s="46"/>
    </row>
    <row r="262" spans="1:13" s="9" customFormat="1" x14ac:dyDescent="0.25">
      <c r="A262" s="35" t="s">
        <v>231</v>
      </c>
      <c r="B262" s="46"/>
      <c r="C262" s="35"/>
      <c r="D262" s="46"/>
      <c r="E262" s="35" t="s">
        <v>232</v>
      </c>
      <c r="F262" s="46"/>
      <c r="G262" s="35" t="s">
        <v>234</v>
      </c>
      <c r="H262" s="46"/>
    </row>
    <row r="263" spans="1:13" s="9" customFormat="1" x14ac:dyDescent="0.25">
      <c r="A263" s="35"/>
      <c r="B263" s="46"/>
      <c r="C263" s="35"/>
      <c r="D263" s="46"/>
      <c r="E263" s="35" t="s">
        <v>236</v>
      </c>
      <c r="F263" s="46"/>
      <c r="G263" s="35" t="s">
        <v>237</v>
      </c>
      <c r="H263" s="46"/>
    </row>
    <row r="264" spans="1:13" s="9" customFormat="1" x14ac:dyDescent="0.25">
      <c r="A264" s="35"/>
      <c r="B264" s="46"/>
      <c r="C264" s="35"/>
      <c r="D264" s="46"/>
      <c r="E264" s="35"/>
      <c r="F264" s="46"/>
      <c r="G264" s="35" t="s">
        <v>154</v>
      </c>
      <c r="H264" s="46"/>
    </row>
    <row r="265" spans="1:13" s="14" customFormat="1" x14ac:dyDescent="0.25">
      <c r="A265" s="47"/>
      <c r="B265" s="48"/>
      <c r="C265" s="47"/>
      <c r="D265" s="48"/>
      <c r="E265" s="47"/>
      <c r="F265" s="48"/>
      <c r="G265" s="47"/>
      <c r="H265" s="49"/>
      <c r="I265" s="9"/>
      <c r="J265" s="9"/>
      <c r="K265" s="9"/>
      <c r="L265" s="9"/>
      <c r="M265" s="9"/>
    </row>
    <row r="266" spans="1:13" s="9" customFormat="1" x14ac:dyDescent="0.25">
      <c r="A266" s="35" t="s">
        <v>208</v>
      </c>
      <c r="B266" s="46"/>
      <c r="C266" s="35" t="s">
        <v>210</v>
      </c>
      <c r="D266" s="46"/>
      <c r="E266" s="35" t="s">
        <v>212</v>
      </c>
      <c r="F266" s="46"/>
      <c r="G266" s="35" t="s">
        <v>214</v>
      </c>
      <c r="H266" s="46"/>
    </row>
    <row r="267" spans="1:13" s="9" customFormat="1" x14ac:dyDescent="0.25">
      <c r="A267" s="35" t="s">
        <v>216</v>
      </c>
      <c r="B267" s="46"/>
      <c r="C267" s="35" t="s">
        <v>218</v>
      </c>
      <c r="D267" s="46"/>
      <c r="E267" s="35" t="s">
        <v>219</v>
      </c>
      <c r="F267" s="46"/>
      <c r="G267" s="35" t="s">
        <v>221</v>
      </c>
      <c r="H267" s="46"/>
    </row>
    <row r="268" spans="1:13" s="9" customFormat="1" x14ac:dyDescent="0.25">
      <c r="A268" s="35" t="s">
        <v>223</v>
      </c>
      <c r="B268" s="46"/>
      <c r="C268" s="35" t="s">
        <v>216</v>
      </c>
      <c r="D268" s="46"/>
      <c r="E268" s="35" t="s">
        <v>218</v>
      </c>
      <c r="F268" s="46"/>
      <c r="G268" s="35" t="s">
        <v>225</v>
      </c>
      <c r="H268" s="46"/>
    </row>
    <row r="269" spans="1:13" s="9" customFormat="1" x14ac:dyDescent="0.25">
      <c r="A269" s="35" t="s">
        <v>226</v>
      </c>
      <c r="B269" s="46"/>
      <c r="C269" s="35" t="s">
        <v>227</v>
      </c>
      <c r="D269" s="46"/>
      <c r="E269" s="35" t="s">
        <v>229</v>
      </c>
      <c r="F269" s="46"/>
      <c r="G269" s="35" t="s">
        <v>230</v>
      </c>
      <c r="H269" s="46"/>
    </row>
    <row r="270" spans="1:13" s="9" customFormat="1" x14ac:dyDescent="0.25">
      <c r="A270" s="35" t="s">
        <v>231</v>
      </c>
      <c r="B270" s="46"/>
      <c r="C270" s="35"/>
      <c r="D270" s="46"/>
      <c r="E270" s="35" t="s">
        <v>232</v>
      </c>
      <c r="F270" s="46"/>
      <c r="G270" s="35" t="s">
        <v>234</v>
      </c>
      <c r="H270" s="46"/>
    </row>
    <row r="271" spans="1:13" s="9" customFormat="1" x14ac:dyDescent="0.25">
      <c r="A271" s="35"/>
      <c r="B271" s="46"/>
      <c r="C271" s="35"/>
      <c r="D271" s="46"/>
      <c r="E271" s="35" t="s">
        <v>236</v>
      </c>
      <c r="F271" s="46"/>
      <c r="G271" s="35" t="s">
        <v>237</v>
      </c>
      <c r="H271" s="46"/>
    </row>
    <row r="272" spans="1:13" s="9" customFormat="1" x14ac:dyDescent="0.25">
      <c r="A272" s="35"/>
      <c r="B272" s="46"/>
      <c r="C272" s="35"/>
      <c r="D272" s="46"/>
      <c r="E272" s="35"/>
      <c r="F272" s="46"/>
      <c r="G272" s="35" t="s">
        <v>154</v>
      </c>
      <c r="H272" s="46"/>
    </row>
    <row r="273" spans="1:13" s="14" customFormat="1" x14ac:dyDescent="0.25">
      <c r="A273" s="47"/>
      <c r="B273" s="48"/>
      <c r="C273" s="47"/>
      <c r="D273" s="48"/>
      <c r="E273" s="47"/>
      <c r="F273" s="48"/>
      <c r="G273" s="47"/>
      <c r="H273" s="49"/>
      <c r="I273" s="9"/>
      <c r="J273" s="9"/>
      <c r="K273" s="9"/>
      <c r="L273" s="9"/>
      <c r="M273" s="9"/>
    </row>
    <row r="274" spans="1:13" s="9" customFormat="1" x14ac:dyDescent="0.25">
      <c r="A274" s="35" t="s">
        <v>208</v>
      </c>
      <c r="B274" s="46"/>
      <c r="C274" s="35" t="s">
        <v>210</v>
      </c>
      <c r="D274" s="46"/>
      <c r="E274" s="35" t="s">
        <v>212</v>
      </c>
      <c r="F274" s="46"/>
      <c r="G274" s="35" t="s">
        <v>214</v>
      </c>
      <c r="H274" s="46"/>
    </row>
    <row r="275" spans="1:13" s="9" customFormat="1" x14ac:dyDescent="0.25">
      <c r="A275" s="35" t="s">
        <v>216</v>
      </c>
      <c r="B275" s="46"/>
      <c r="C275" s="35" t="s">
        <v>218</v>
      </c>
      <c r="D275" s="46"/>
      <c r="E275" s="35" t="s">
        <v>219</v>
      </c>
      <c r="F275" s="46"/>
      <c r="G275" s="35" t="s">
        <v>221</v>
      </c>
      <c r="H275" s="46"/>
    </row>
    <row r="276" spans="1:13" s="9" customFormat="1" x14ac:dyDescent="0.25">
      <c r="A276" s="35" t="s">
        <v>223</v>
      </c>
      <c r="B276" s="46"/>
      <c r="C276" s="35" t="s">
        <v>216</v>
      </c>
      <c r="D276" s="46"/>
      <c r="E276" s="35" t="s">
        <v>218</v>
      </c>
      <c r="F276" s="46"/>
      <c r="G276" s="35" t="s">
        <v>225</v>
      </c>
      <c r="H276" s="46"/>
    </row>
    <row r="277" spans="1:13" s="9" customFormat="1" x14ac:dyDescent="0.25">
      <c r="A277" s="35" t="s">
        <v>226</v>
      </c>
      <c r="B277" s="46"/>
      <c r="C277" s="35" t="s">
        <v>227</v>
      </c>
      <c r="D277" s="46"/>
      <c r="E277" s="35" t="s">
        <v>229</v>
      </c>
      <c r="F277" s="46"/>
      <c r="G277" s="35" t="s">
        <v>230</v>
      </c>
      <c r="H277" s="46"/>
    </row>
    <row r="278" spans="1:13" s="9" customFormat="1" x14ac:dyDescent="0.25">
      <c r="A278" s="35" t="s">
        <v>231</v>
      </c>
      <c r="B278" s="46"/>
      <c r="C278" s="35"/>
      <c r="D278" s="46"/>
      <c r="E278" s="35" t="s">
        <v>232</v>
      </c>
      <c r="F278" s="46"/>
      <c r="G278" s="35" t="s">
        <v>234</v>
      </c>
      <c r="H278" s="46"/>
    </row>
    <row r="279" spans="1:13" s="9" customFormat="1" x14ac:dyDescent="0.25">
      <c r="A279" s="35"/>
      <c r="B279" s="46"/>
      <c r="C279" s="35"/>
      <c r="D279" s="46"/>
      <c r="E279" s="35" t="s">
        <v>236</v>
      </c>
      <c r="F279" s="46"/>
      <c r="G279" s="35" t="s">
        <v>237</v>
      </c>
      <c r="H279" s="46"/>
    </row>
    <row r="280" spans="1:13" s="9" customFormat="1" x14ac:dyDescent="0.25">
      <c r="A280" s="35"/>
      <c r="B280" s="46"/>
      <c r="C280" s="35"/>
      <c r="D280" s="46"/>
      <c r="E280" s="35"/>
      <c r="F280" s="46"/>
      <c r="G280" s="35" t="s">
        <v>154</v>
      </c>
      <c r="H280" s="46"/>
    </row>
    <row r="281" spans="1:13" s="14" customFormat="1" x14ac:dyDescent="0.25">
      <c r="A281" s="47"/>
      <c r="B281" s="48"/>
      <c r="C281" s="47"/>
      <c r="D281" s="48"/>
      <c r="E281" s="47"/>
      <c r="F281" s="48"/>
      <c r="G281" s="47"/>
      <c r="H281" s="49"/>
      <c r="I281" s="9"/>
      <c r="J281" s="9"/>
      <c r="K281" s="9"/>
      <c r="L281" s="9"/>
      <c r="M281" s="9"/>
    </row>
    <row r="282" spans="1:13" s="9" customFormat="1" x14ac:dyDescent="0.25">
      <c r="A282" s="35" t="s">
        <v>208</v>
      </c>
      <c r="B282" s="46"/>
      <c r="C282" s="35" t="s">
        <v>210</v>
      </c>
      <c r="D282" s="46"/>
      <c r="E282" s="35" t="s">
        <v>212</v>
      </c>
      <c r="F282" s="46"/>
      <c r="G282" s="35" t="s">
        <v>214</v>
      </c>
      <c r="H282" s="46"/>
    </row>
    <row r="283" spans="1:13" s="9" customFormat="1" x14ac:dyDescent="0.25">
      <c r="A283" s="35" t="s">
        <v>216</v>
      </c>
      <c r="B283" s="46"/>
      <c r="C283" s="35" t="s">
        <v>218</v>
      </c>
      <c r="D283" s="46"/>
      <c r="E283" s="35" t="s">
        <v>219</v>
      </c>
      <c r="F283" s="46"/>
      <c r="G283" s="35" t="s">
        <v>221</v>
      </c>
      <c r="H283" s="46"/>
    </row>
    <row r="284" spans="1:13" s="9" customFormat="1" x14ac:dyDescent="0.25">
      <c r="A284" s="35" t="s">
        <v>223</v>
      </c>
      <c r="B284" s="46"/>
      <c r="C284" s="35" t="s">
        <v>216</v>
      </c>
      <c r="D284" s="46"/>
      <c r="E284" s="35" t="s">
        <v>218</v>
      </c>
      <c r="F284" s="46"/>
      <c r="G284" s="35" t="s">
        <v>225</v>
      </c>
      <c r="H284" s="46"/>
    </row>
    <row r="285" spans="1:13" s="9" customFormat="1" x14ac:dyDescent="0.25">
      <c r="A285" s="35" t="s">
        <v>226</v>
      </c>
      <c r="B285" s="46"/>
      <c r="C285" s="35" t="s">
        <v>227</v>
      </c>
      <c r="D285" s="46"/>
      <c r="E285" s="35" t="s">
        <v>229</v>
      </c>
      <c r="F285" s="46"/>
      <c r="G285" s="35" t="s">
        <v>230</v>
      </c>
      <c r="H285" s="46"/>
    </row>
    <row r="286" spans="1:13" s="9" customFormat="1" x14ac:dyDescent="0.25">
      <c r="A286" s="35" t="s">
        <v>231</v>
      </c>
      <c r="B286" s="46"/>
      <c r="C286" s="35"/>
      <c r="D286" s="46"/>
      <c r="E286" s="35" t="s">
        <v>232</v>
      </c>
      <c r="F286" s="46"/>
      <c r="G286" s="35" t="s">
        <v>234</v>
      </c>
      <c r="H286" s="46"/>
    </row>
    <row r="287" spans="1:13" s="9" customFormat="1" x14ac:dyDescent="0.25">
      <c r="A287" s="35"/>
      <c r="B287" s="46"/>
      <c r="C287" s="35"/>
      <c r="D287" s="46"/>
      <c r="E287" s="35" t="s">
        <v>236</v>
      </c>
      <c r="F287" s="46"/>
      <c r="G287" s="35" t="s">
        <v>237</v>
      </c>
      <c r="H287" s="46"/>
    </row>
    <row r="288" spans="1:13" s="9" customFormat="1" x14ac:dyDescent="0.25">
      <c r="A288" s="35"/>
      <c r="B288" s="46"/>
      <c r="C288" s="35"/>
      <c r="D288" s="46"/>
      <c r="E288" s="35"/>
      <c r="F288" s="46"/>
      <c r="G288" s="35" t="s">
        <v>154</v>
      </c>
      <c r="H288" s="46"/>
    </row>
    <row r="289" spans="1:13" s="14" customFormat="1" x14ac:dyDescent="0.25">
      <c r="A289" s="47"/>
      <c r="B289" s="48"/>
      <c r="C289" s="47"/>
      <c r="D289" s="48"/>
      <c r="E289" s="47"/>
      <c r="F289" s="48"/>
      <c r="G289" s="47"/>
      <c r="H289" s="49"/>
      <c r="I289" s="9"/>
      <c r="J289" s="9"/>
      <c r="K289" s="9"/>
      <c r="L289" s="9"/>
      <c r="M289" s="9"/>
    </row>
    <row r="290" spans="1:13" s="9" customFormat="1" x14ac:dyDescent="0.25">
      <c r="A290" s="35" t="s">
        <v>208</v>
      </c>
      <c r="B290" s="46"/>
      <c r="C290" s="35" t="s">
        <v>210</v>
      </c>
      <c r="D290" s="46"/>
      <c r="E290" s="35" t="s">
        <v>212</v>
      </c>
      <c r="F290" s="46"/>
      <c r="G290" s="35" t="s">
        <v>214</v>
      </c>
      <c r="H290" s="46"/>
    </row>
    <row r="291" spans="1:13" s="9" customFormat="1" x14ac:dyDescent="0.25">
      <c r="A291" s="35" t="s">
        <v>216</v>
      </c>
      <c r="B291" s="46"/>
      <c r="C291" s="35" t="s">
        <v>218</v>
      </c>
      <c r="D291" s="46"/>
      <c r="E291" s="35" t="s">
        <v>219</v>
      </c>
      <c r="F291" s="46"/>
      <c r="G291" s="35" t="s">
        <v>221</v>
      </c>
      <c r="H291" s="46"/>
    </row>
    <row r="292" spans="1:13" s="9" customFormat="1" x14ac:dyDescent="0.25">
      <c r="A292" s="35" t="s">
        <v>223</v>
      </c>
      <c r="B292" s="46"/>
      <c r="C292" s="35" t="s">
        <v>216</v>
      </c>
      <c r="D292" s="46"/>
      <c r="E292" s="35" t="s">
        <v>218</v>
      </c>
      <c r="F292" s="46"/>
      <c r="G292" s="35" t="s">
        <v>225</v>
      </c>
      <c r="H292" s="46"/>
    </row>
    <row r="293" spans="1:13" s="9" customFormat="1" x14ac:dyDescent="0.25">
      <c r="A293" s="35" t="s">
        <v>226</v>
      </c>
      <c r="B293" s="46"/>
      <c r="C293" s="35" t="s">
        <v>227</v>
      </c>
      <c r="D293" s="46"/>
      <c r="E293" s="35" t="s">
        <v>229</v>
      </c>
      <c r="F293" s="46"/>
      <c r="G293" s="35" t="s">
        <v>230</v>
      </c>
      <c r="H293" s="46"/>
    </row>
    <row r="294" spans="1:13" s="9" customFormat="1" x14ac:dyDescent="0.25">
      <c r="A294" s="35" t="s">
        <v>231</v>
      </c>
      <c r="B294" s="46"/>
      <c r="C294" s="35"/>
      <c r="D294" s="46"/>
      <c r="E294" s="35" t="s">
        <v>232</v>
      </c>
      <c r="F294" s="46"/>
      <c r="G294" s="35" t="s">
        <v>234</v>
      </c>
      <c r="H294" s="46"/>
    </row>
    <row r="295" spans="1:13" s="9" customFormat="1" x14ac:dyDescent="0.25">
      <c r="A295" s="35"/>
      <c r="B295" s="46"/>
      <c r="C295" s="35"/>
      <c r="D295" s="46"/>
      <c r="E295" s="35" t="s">
        <v>236</v>
      </c>
      <c r="F295" s="46"/>
      <c r="G295" s="35" t="s">
        <v>237</v>
      </c>
      <c r="H295" s="46"/>
    </row>
    <row r="296" spans="1:13" s="9" customFormat="1" x14ac:dyDescent="0.25">
      <c r="A296" s="35"/>
      <c r="B296" s="46"/>
      <c r="C296" s="35"/>
      <c r="D296" s="46"/>
      <c r="E296" s="35"/>
      <c r="F296" s="46"/>
      <c r="G296" s="35" t="s">
        <v>154</v>
      </c>
      <c r="H296" s="46"/>
    </row>
    <row r="297" spans="1:13" s="14" customFormat="1" x14ac:dyDescent="0.25">
      <c r="A297" s="47"/>
      <c r="B297" s="48"/>
      <c r="C297" s="47"/>
      <c r="D297" s="48"/>
      <c r="E297" s="47"/>
      <c r="F297" s="48"/>
      <c r="G297" s="47"/>
      <c r="H297" s="49"/>
      <c r="I297" s="9"/>
      <c r="J297" s="9"/>
      <c r="K297" s="9"/>
      <c r="L297" s="9"/>
      <c r="M297" s="9"/>
    </row>
    <row r="298" spans="1:13" s="9" customFormat="1" x14ac:dyDescent="0.25">
      <c r="A298" s="35" t="s">
        <v>208</v>
      </c>
      <c r="B298" s="46"/>
      <c r="C298" s="35" t="s">
        <v>210</v>
      </c>
      <c r="D298" s="46"/>
      <c r="E298" s="35" t="s">
        <v>212</v>
      </c>
      <c r="F298" s="46"/>
      <c r="G298" s="35" t="s">
        <v>214</v>
      </c>
      <c r="H298" s="46"/>
    </row>
    <row r="299" spans="1:13" s="9" customFormat="1" x14ac:dyDescent="0.25">
      <c r="A299" s="35" t="s">
        <v>216</v>
      </c>
      <c r="B299" s="46"/>
      <c r="C299" s="35" t="s">
        <v>218</v>
      </c>
      <c r="D299" s="46"/>
      <c r="E299" s="35" t="s">
        <v>219</v>
      </c>
      <c r="F299" s="46"/>
      <c r="G299" s="35" t="s">
        <v>221</v>
      </c>
      <c r="H299" s="46"/>
    </row>
    <row r="300" spans="1:13" s="9" customFormat="1" x14ac:dyDescent="0.25">
      <c r="A300" s="35" t="s">
        <v>223</v>
      </c>
      <c r="B300" s="46"/>
      <c r="C300" s="35" t="s">
        <v>216</v>
      </c>
      <c r="D300" s="46"/>
      <c r="E300" s="35" t="s">
        <v>218</v>
      </c>
      <c r="F300" s="46"/>
      <c r="G300" s="35" t="s">
        <v>225</v>
      </c>
      <c r="H300" s="46"/>
    </row>
    <row r="301" spans="1:13" s="9" customFormat="1" x14ac:dyDescent="0.25">
      <c r="A301" s="35" t="s">
        <v>226</v>
      </c>
      <c r="B301" s="46"/>
      <c r="C301" s="35" t="s">
        <v>227</v>
      </c>
      <c r="D301" s="46"/>
      <c r="E301" s="35" t="s">
        <v>229</v>
      </c>
      <c r="F301" s="46"/>
      <c r="G301" s="35" t="s">
        <v>230</v>
      </c>
      <c r="H301" s="46"/>
    </row>
    <row r="302" spans="1:13" s="9" customFormat="1" x14ac:dyDescent="0.25">
      <c r="A302" s="35" t="s">
        <v>231</v>
      </c>
      <c r="B302" s="46"/>
      <c r="C302" s="35"/>
      <c r="D302" s="46"/>
      <c r="E302" s="35" t="s">
        <v>232</v>
      </c>
      <c r="F302" s="46"/>
      <c r="G302" s="35" t="s">
        <v>234</v>
      </c>
      <c r="H302" s="46"/>
    </row>
    <row r="303" spans="1:13" s="9" customFormat="1" x14ac:dyDescent="0.25">
      <c r="A303" s="35"/>
      <c r="B303" s="46"/>
      <c r="C303" s="35"/>
      <c r="D303" s="46"/>
      <c r="E303" s="35" t="s">
        <v>236</v>
      </c>
      <c r="F303" s="46"/>
      <c r="G303" s="35" t="s">
        <v>237</v>
      </c>
      <c r="H303" s="46"/>
    </row>
    <row r="304" spans="1:13" s="9" customFormat="1" x14ac:dyDescent="0.25">
      <c r="A304" s="35"/>
      <c r="B304" s="46"/>
      <c r="C304" s="35"/>
      <c r="D304" s="46"/>
      <c r="E304" s="35"/>
      <c r="F304" s="46"/>
      <c r="G304" s="35" t="s">
        <v>154</v>
      </c>
      <c r="H304" s="46"/>
    </row>
    <row r="305" spans="1:13" s="14" customFormat="1" x14ac:dyDescent="0.25">
      <c r="A305" s="47"/>
      <c r="B305" s="48"/>
      <c r="C305" s="47"/>
      <c r="D305" s="48"/>
      <c r="E305" s="47"/>
      <c r="F305" s="48"/>
      <c r="G305" s="47"/>
      <c r="H305" s="49"/>
      <c r="I305" s="9"/>
      <c r="J305" s="9"/>
      <c r="K305" s="9"/>
      <c r="L305" s="9"/>
      <c r="M305" s="9"/>
    </row>
    <row r="306" spans="1:13" s="9" customFormat="1" x14ac:dyDescent="0.25">
      <c r="A306" s="35" t="s">
        <v>208</v>
      </c>
      <c r="B306" s="46"/>
      <c r="C306" s="35" t="s">
        <v>210</v>
      </c>
      <c r="D306" s="46"/>
      <c r="E306" s="35" t="s">
        <v>212</v>
      </c>
      <c r="F306" s="46"/>
      <c r="G306" s="35" t="s">
        <v>214</v>
      </c>
      <c r="H306" s="46"/>
    </row>
    <row r="307" spans="1:13" s="9" customFormat="1" x14ac:dyDescent="0.25">
      <c r="A307" s="35" t="s">
        <v>216</v>
      </c>
      <c r="B307" s="46"/>
      <c r="C307" s="35" t="s">
        <v>218</v>
      </c>
      <c r="D307" s="46"/>
      <c r="E307" s="35" t="s">
        <v>219</v>
      </c>
      <c r="F307" s="46"/>
      <c r="G307" s="35" t="s">
        <v>221</v>
      </c>
      <c r="H307" s="46"/>
    </row>
    <row r="308" spans="1:13" s="9" customFormat="1" x14ac:dyDescent="0.25">
      <c r="A308" s="35" t="s">
        <v>223</v>
      </c>
      <c r="B308" s="46"/>
      <c r="C308" s="35" t="s">
        <v>216</v>
      </c>
      <c r="D308" s="46"/>
      <c r="E308" s="35" t="s">
        <v>218</v>
      </c>
      <c r="F308" s="46"/>
      <c r="G308" s="35" t="s">
        <v>225</v>
      </c>
      <c r="H308" s="46"/>
    </row>
    <row r="309" spans="1:13" s="9" customFormat="1" x14ac:dyDescent="0.25">
      <c r="A309" s="35" t="s">
        <v>226</v>
      </c>
      <c r="B309" s="46"/>
      <c r="C309" s="35" t="s">
        <v>227</v>
      </c>
      <c r="D309" s="46"/>
      <c r="E309" s="35" t="s">
        <v>229</v>
      </c>
      <c r="F309" s="46"/>
      <c r="G309" s="35" t="s">
        <v>230</v>
      </c>
      <c r="H309" s="46"/>
    </row>
    <row r="310" spans="1:13" s="9" customFormat="1" x14ac:dyDescent="0.25">
      <c r="A310" s="35" t="s">
        <v>231</v>
      </c>
      <c r="B310" s="46"/>
      <c r="C310" s="35"/>
      <c r="D310" s="46"/>
      <c r="E310" s="35" t="s">
        <v>232</v>
      </c>
      <c r="F310" s="46"/>
      <c r="G310" s="35" t="s">
        <v>234</v>
      </c>
      <c r="H310" s="46"/>
    </row>
    <row r="311" spans="1:13" s="9" customFormat="1" x14ac:dyDescent="0.25">
      <c r="A311" s="35"/>
      <c r="B311" s="46"/>
      <c r="C311" s="35"/>
      <c r="D311" s="46"/>
      <c r="E311" s="35" t="s">
        <v>236</v>
      </c>
      <c r="F311" s="46"/>
      <c r="G311" s="35" t="s">
        <v>237</v>
      </c>
      <c r="H311" s="46"/>
    </row>
    <row r="312" spans="1:13" s="9" customFormat="1" x14ac:dyDescent="0.25">
      <c r="A312" s="35"/>
      <c r="B312" s="46"/>
      <c r="C312" s="35"/>
      <c r="D312" s="46"/>
      <c r="E312" s="35"/>
      <c r="F312" s="46"/>
      <c r="G312" s="35" t="s">
        <v>154</v>
      </c>
      <c r="H312" s="46"/>
    </row>
    <row r="313" spans="1:13" s="14" customFormat="1" x14ac:dyDescent="0.25">
      <c r="A313" s="47"/>
      <c r="B313" s="48"/>
      <c r="C313" s="47"/>
      <c r="D313" s="48"/>
      <c r="E313" s="47"/>
      <c r="F313" s="48"/>
      <c r="G313" s="47"/>
      <c r="H313" s="49"/>
      <c r="I313" s="9"/>
      <c r="J313" s="9"/>
      <c r="K313" s="9"/>
      <c r="L313" s="9"/>
      <c r="M313" s="9"/>
    </row>
    <row r="314" spans="1:13" s="9" customFormat="1" x14ac:dyDescent="0.25">
      <c r="A314" s="35" t="s">
        <v>208</v>
      </c>
      <c r="B314" s="46"/>
      <c r="C314" s="35" t="s">
        <v>210</v>
      </c>
      <c r="D314" s="46"/>
      <c r="E314" s="35" t="s">
        <v>212</v>
      </c>
      <c r="F314" s="46"/>
      <c r="G314" s="35" t="s">
        <v>214</v>
      </c>
      <c r="H314" s="46"/>
    </row>
    <row r="315" spans="1:13" s="9" customFormat="1" x14ac:dyDescent="0.25">
      <c r="A315" s="35" t="s">
        <v>216</v>
      </c>
      <c r="B315" s="46"/>
      <c r="C315" s="35" t="s">
        <v>218</v>
      </c>
      <c r="D315" s="46"/>
      <c r="E315" s="35" t="s">
        <v>219</v>
      </c>
      <c r="F315" s="46"/>
      <c r="G315" s="35" t="s">
        <v>221</v>
      </c>
      <c r="H315" s="46"/>
    </row>
    <row r="316" spans="1:13" s="9" customFormat="1" x14ac:dyDescent="0.25">
      <c r="A316" s="35" t="s">
        <v>223</v>
      </c>
      <c r="B316" s="46"/>
      <c r="C316" s="35" t="s">
        <v>216</v>
      </c>
      <c r="D316" s="46"/>
      <c r="E316" s="35" t="s">
        <v>218</v>
      </c>
      <c r="F316" s="46"/>
      <c r="G316" s="35" t="s">
        <v>225</v>
      </c>
      <c r="H316" s="46"/>
    </row>
    <row r="317" spans="1:13" s="9" customFormat="1" x14ac:dyDescent="0.25">
      <c r="A317" s="35" t="s">
        <v>226</v>
      </c>
      <c r="B317" s="46"/>
      <c r="C317" s="35" t="s">
        <v>227</v>
      </c>
      <c r="D317" s="46"/>
      <c r="E317" s="35" t="s">
        <v>229</v>
      </c>
      <c r="F317" s="46"/>
      <c r="G317" s="35" t="s">
        <v>230</v>
      </c>
      <c r="H317" s="46"/>
    </row>
    <row r="318" spans="1:13" s="9" customFormat="1" x14ac:dyDescent="0.25">
      <c r="A318" s="35" t="s">
        <v>231</v>
      </c>
      <c r="B318" s="46"/>
      <c r="C318" s="35"/>
      <c r="D318" s="46"/>
      <c r="E318" s="35" t="s">
        <v>232</v>
      </c>
      <c r="F318" s="46"/>
      <c r="G318" s="35" t="s">
        <v>234</v>
      </c>
      <c r="H318" s="46"/>
    </row>
    <row r="319" spans="1:13" s="9" customFormat="1" x14ac:dyDescent="0.25">
      <c r="A319" s="35"/>
      <c r="B319" s="46"/>
      <c r="C319" s="35"/>
      <c r="D319" s="46"/>
      <c r="E319" s="35" t="s">
        <v>236</v>
      </c>
      <c r="F319" s="46"/>
      <c r="G319" s="35" t="s">
        <v>237</v>
      </c>
      <c r="H319" s="46"/>
    </row>
    <row r="320" spans="1:13" s="9" customFormat="1" x14ac:dyDescent="0.25">
      <c r="A320" s="35"/>
      <c r="B320" s="46"/>
      <c r="C320" s="35"/>
      <c r="D320" s="46"/>
      <c r="E320" s="35"/>
      <c r="F320" s="46"/>
      <c r="G320" s="35" t="s">
        <v>154</v>
      </c>
      <c r="H320" s="46"/>
    </row>
    <row r="321" spans="1:13" s="14" customFormat="1" x14ac:dyDescent="0.25">
      <c r="A321" s="47"/>
      <c r="B321" s="48"/>
      <c r="C321" s="47"/>
      <c r="D321" s="48"/>
      <c r="E321" s="47"/>
      <c r="F321" s="48"/>
      <c r="G321" s="47"/>
      <c r="H321" s="49"/>
      <c r="I321" s="9"/>
      <c r="J321" s="9"/>
      <c r="K321" s="9"/>
      <c r="L321" s="9"/>
      <c r="M321" s="9"/>
    </row>
    <row r="322" spans="1:13" s="9" customFormat="1" x14ac:dyDescent="0.25">
      <c r="A322" s="35" t="s">
        <v>208</v>
      </c>
      <c r="B322" s="46"/>
      <c r="C322" s="35" t="s">
        <v>210</v>
      </c>
      <c r="D322" s="46"/>
      <c r="E322" s="35" t="s">
        <v>212</v>
      </c>
      <c r="F322" s="46"/>
      <c r="G322" s="35" t="s">
        <v>214</v>
      </c>
      <c r="H322" s="46"/>
    </row>
    <row r="323" spans="1:13" s="9" customFormat="1" x14ac:dyDescent="0.25">
      <c r="A323" s="35" t="s">
        <v>216</v>
      </c>
      <c r="B323" s="46"/>
      <c r="C323" s="35" t="s">
        <v>218</v>
      </c>
      <c r="D323" s="46"/>
      <c r="E323" s="35" t="s">
        <v>219</v>
      </c>
      <c r="F323" s="46"/>
      <c r="G323" s="35" t="s">
        <v>221</v>
      </c>
      <c r="H323" s="46"/>
    </row>
    <row r="324" spans="1:13" s="9" customFormat="1" x14ac:dyDescent="0.25">
      <c r="A324" s="35" t="s">
        <v>223</v>
      </c>
      <c r="B324" s="46"/>
      <c r="C324" s="35" t="s">
        <v>216</v>
      </c>
      <c r="D324" s="46"/>
      <c r="E324" s="35" t="s">
        <v>218</v>
      </c>
      <c r="F324" s="46"/>
      <c r="G324" s="35" t="s">
        <v>225</v>
      </c>
      <c r="H324" s="46"/>
    </row>
    <row r="325" spans="1:13" s="9" customFormat="1" x14ac:dyDescent="0.25">
      <c r="A325" s="35" t="s">
        <v>226</v>
      </c>
      <c r="B325" s="46"/>
      <c r="C325" s="35" t="s">
        <v>227</v>
      </c>
      <c r="D325" s="46"/>
      <c r="E325" s="35" t="s">
        <v>229</v>
      </c>
      <c r="F325" s="46"/>
      <c r="G325" s="35" t="s">
        <v>230</v>
      </c>
      <c r="H325" s="46"/>
    </row>
    <row r="326" spans="1:13" s="9" customFormat="1" x14ac:dyDescent="0.25">
      <c r="A326" s="35" t="s">
        <v>231</v>
      </c>
      <c r="B326" s="46"/>
      <c r="C326" s="35"/>
      <c r="D326" s="46"/>
      <c r="E326" s="35" t="s">
        <v>232</v>
      </c>
      <c r="F326" s="46"/>
      <c r="G326" s="35" t="s">
        <v>234</v>
      </c>
      <c r="H326" s="46"/>
    </row>
    <row r="327" spans="1:13" s="9" customFormat="1" x14ac:dyDescent="0.25">
      <c r="A327" s="35"/>
      <c r="B327" s="46"/>
      <c r="C327" s="35"/>
      <c r="D327" s="46"/>
      <c r="E327" s="35" t="s">
        <v>236</v>
      </c>
      <c r="F327" s="46"/>
      <c r="G327" s="35" t="s">
        <v>237</v>
      </c>
      <c r="H327" s="46"/>
    </row>
    <row r="328" spans="1:13" s="9" customFormat="1" x14ac:dyDescent="0.25">
      <c r="A328" s="35"/>
      <c r="B328" s="46"/>
      <c r="C328" s="35"/>
      <c r="D328" s="46"/>
      <c r="E328" s="35"/>
      <c r="F328" s="46"/>
      <c r="G328" s="35" t="s">
        <v>154</v>
      </c>
      <c r="H328" s="46"/>
    </row>
    <row r="329" spans="1:13" s="14" customFormat="1" x14ac:dyDescent="0.25">
      <c r="A329" s="47"/>
      <c r="B329" s="48"/>
      <c r="C329" s="47"/>
      <c r="D329" s="48"/>
      <c r="E329" s="47"/>
      <c r="F329" s="48"/>
      <c r="G329" s="47"/>
      <c r="H329" s="49"/>
      <c r="I329" s="9"/>
      <c r="J329" s="9"/>
      <c r="K329" s="9"/>
      <c r="L329" s="9"/>
      <c r="M329" s="9"/>
    </row>
    <row r="330" spans="1:13" s="9" customFormat="1" x14ac:dyDescent="0.25">
      <c r="A330" s="35" t="s">
        <v>208</v>
      </c>
      <c r="B330" s="46"/>
      <c r="C330" s="35" t="s">
        <v>210</v>
      </c>
      <c r="D330" s="46"/>
      <c r="E330" s="35" t="s">
        <v>212</v>
      </c>
      <c r="F330" s="46"/>
      <c r="G330" s="35" t="s">
        <v>214</v>
      </c>
      <c r="H330" s="46"/>
    </row>
    <row r="331" spans="1:13" s="9" customFormat="1" x14ac:dyDescent="0.25">
      <c r="A331" s="35" t="s">
        <v>216</v>
      </c>
      <c r="B331" s="46"/>
      <c r="C331" s="35" t="s">
        <v>218</v>
      </c>
      <c r="D331" s="46"/>
      <c r="E331" s="35" t="s">
        <v>219</v>
      </c>
      <c r="F331" s="46"/>
      <c r="G331" s="35" t="s">
        <v>221</v>
      </c>
      <c r="H331" s="46"/>
    </row>
    <row r="332" spans="1:13" s="9" customFormat="1" x14ac:dyDescent="0.25">
      <c r="A332" s="35" t="s">
        <v>223</v>
      </c>
      <c r="B332" s="46"/>
      <c r="C332" s="35" t="s">
        <v>216</v>
      </c>
      <c r="D332" s="46"/>
      <c r="E332" s="35" t="s">
        <v>218</v>
      </c>
      <c r="F332" s="46"/>
      <c r="G332" s="35" t="s">
        <v>225</v>
      </c>
      <c r="H332" s="46"/>
    </row>
    <row r="333" spans="1:13" s="9" customFormat="1" x14ac:dyDescent="0.25">
      <c r="A333" s="35" t="s">
        <v>226</v>
      </c>
      <c r="B333" s="46"/>
      <c r="C333" s="35" t="s">
        <v>227</v>
      </c>
      <c r="D333" s="46"/>
      <c r="E333" s="35" t="s">
        <v>229</v>
      </c>
      <c r="F333" s="46"/>
      <c r="G333" s="35" t="s">
        <v>230</v>
      </c>
      <c r="H333" s="46"/>
    </row>
    <row r="334" spans="1:13" s="9" customFormat="1" x14ac:dyDescent="0.25">
      <c r="A334" s="35" t="s">
        <v>231</v>
      </c>
      <c r="B334" s="46"/>
      <c r="C334" s="35"/>
      <c r="D334" s="46"/>
      <c r="E334" s="35" t="s">
        <v>232</v>
      </c>
      <c r="F334" s="46"/>
      <c r="G334" s="35" t="s">
        <v>234</v>
      </c>
      <c r="H334" s="46"/>
    </row>
    <row r="335" spans="1:13" s="9" customFormat="1" x14ac:dyDescent="0.25">
      <c r="A335" s="35"/>
      <c r="B335" s="46"/>
      <c r="C335" s="35"/>
      <c r="D335" s="46"/>
      <c r="E335" s="35" t="s">
        <v>236</v>
      </c>
      <c r="F335" s="46"/>
      <c r="G335" s="35" t="s">
        <v>237</v>
      </c>
      <c r="H335" s="46"/>
    </row>
    <row r="336" spans="1:13" s="9" customFormat="1" x14ac:dyDescent="0.25">
      <c r="A336" s="35"/>
      <c r="B336" s="46"/>
      <c r="C336" s="35"/>
      <c r="D336" s="46"/>
      <c r="E336" s="35"/>
      <c r="F336" s="46"/>
      <c r="G336" s="35" t="s">
        <v>154</v>
      </c>
      <c r="H336" s="46"/>
    </row>
    <row r="337" spans="1:13" s="14" customFormat="1" x14ac:dyDescent="0.25">
      <c r="A337" s="47"/>
      <c r="B337" s="48"/>
      <c r="C337" s="47"/>
      <c r="D337" s="48"/>
      <c r="E337" s="47"/>
      <c r="F337" s="48"/>
      <c r="G337" s="47"/>
      <c r="H337" s="49"/>
      <c r="I337" s="9"/>
      <c r="J337" s="9"/>
      <c r="K337" s="9"/>
      <c r="L337" s="9"/>
      <c r="M337" s="9"/>
    </row>
    <row r="338" spans="1:13" s="9" customFormat="1" x14ac:dyDescent="0.25">
      <c r="A338" s="35" t="s">
        <v>208</v>
      </c>
      <c r="B338" s="46"/>
      <c r="C338" s="35" t="s">
        <v>210</v>
      </c>
      <c r="D338" s="46"/>
      <c r="E338" s="35" t="s">
        <v>212</v>
      </c>
      <c r="F338" s="46"/>
      <c r="G338" s="35" t="s">
        <v>214</v>
      </c>
      <c r="H338" s="46"/>
    </row>
    <row r="339" spans="1:13" s="9" customFormat="1" x14ac:dyDescent="0.25">
      <c r="A339" s="35" t="s">
        <v>216</v>
      </c>
      <c r="B339" s="46"/>
      <c r="C339" s="35" t="s">
        <v>218</v>
      </c>
      <c r="D339" s="46"/>
      <c r="E339" s="35" t="s">
        <v>219</v>
      </c>
      <c r="F339" s="46"/>
      <c r="G339" s="35" t="s">
        <v>221</v>
      </c>
      <c r="H339" s="46"/>
    </row>
    <row r="340" spans="1:13" s="9" customFormat="1" x14ac:dyDescent="0.25">
      <c r="A340" s="35" t="s">
        <v>223</v>
      </c>
      <c r="B340" s="46"/>
      <c r="C340" s="35" t="s">
        <v>216</v>
      </c>
      <c r="D340" s="46"/>
      <c r="E340" s="35" t="s">
        <v>218</v>
      </c>
      <c r="F340" s="46"/>
      <c r="G340" s="35" t="s">
        <v>225</v>
      </c>
      <c r="H340" s="46"/>
    </row>
    <row r="341" spans="1:13" s="9" customFormat="1" x14ac:dyDescent="0.25">
      <c r="A341" s="35" t="s">
        <v>226</v>
      </c>
      <c r="B341" s="46"/>
      <c r="C341" s="35" t="s">
        <v>227</v>
      </c>
      <c r="D341" s="46"/>
      <c r="E341" s="35" t="s">
        <v>229</v>
      </c>
      <c r="F341" s="46"/>
      <c r="G341" s="35" t="s">
        <v>230</v>
      </c>
      <c r="H341" s="46"/>
    </row>
    <row r="342" spans="1:13" s="9" customFormat="1" x14ac:dyDescent="0.25">
      <c r="A342" s="35" t="s">
        <v>231</v>
      </c>
      <c r="B342" s="46"/>
      <c r="C342" s="35"/>
      <c r="D342" s="46"/>
      <c r="E342" s="35" t="s">
        <v>232</v>
      </c>
      <c r="F342" s="46"/>
      <c r="G342" s="35" t="s">
        <v>234</v>
      </c>
      <c r="H342" s="46"/>
    </row>
    <row r="343" spans="1:13" s="9" customFormat="1" x14ac:dyDescent="0.25">
      <c r="A343" s="35"/>
      <c r="B343" s="46"/>
      <c r="C343" s="35"/>
      <c r="D343" s="46"/>
      <c r="E343" s="35" t="s">
        <v>236</v>
      </c>
      <c r="F343" s="46"/>
      <c r="G343" s="35" t="s">
        <v>237</v>
      </c>
      <c r="H343" s="46"/>
    </row>
    <row r="344" spans="1:13" s="9" customFormat="1" x14ac:dyDescent="0.25">
      <c r="A344" s="35"/>
      <c r="B344" s="46"/>
      <c r="C344" s="35"/>
      <c r="D344" s="46"/>
      <c r="E344" s="35"/>
      <c r="F344" s="46"/>
      <c r="G344" s="35" t="s">
        <v>154</v>
      </c>
      <c r="H344" s="46"/>
    </row>
    <row r="345" spans="1:13" s="14" customFormat="1" x14ac:dyDescent="0.25">
      <c r="A345" s="47"/>
      <c r="B345" s="48"/>
      <c r="C345" s="47"/>
      <c r="D345" s="48"/>
      <c r="E345" s="47"/>
      <c r="F345" s="48"/>
      <c r="G345" s="47"/>
      <c r="H345" s="49"/>
      <c r="I345" s="9"/>
      <c r="J345" s="9"/>
      <c r="K345" s="9"/>
      <c r="L345" s="9"/>
      <c r="M345" s="9"/>
    </row>
    <row r="346" spans="1:13" s="9" customFormat="1" x14ac:dyDescent="0.25">
      <c r="A346" s="35" t="s">
        <v>208</v>
      </c>
      <c r="B346" s="46"/>
      <c r="C346" s="35" t="s">
        <v>210</v>
      </c>
      <c r="D346" s="46"/>
      <c r="E346" s="35" t="s">
        <v>212</v>
      </c>
      <c r="F346" s="46"/>
      <c r="G346" s="35" t="s">
        <v>214</v>
      </c>
      <c r="H346" s="46"/>
    </row>
    <row r="347" spans="1:13" s="9" customFormat="1" x14ac:dyDescent="0.25">
      <c r="A347" s="35" t="s">
        <v>216</v>
      </c>
      <c r="B347" s="46"/>
      <c r="C347" s="35" t="s">
        <v>218</v>
      </c>
      <c r="D347" s="46"/>
      <c r="E347" s="35" t="s">
        <v>219</v>
      </c>
      <c r="F347" s="46"/>
      <c r="G347" s="35" t="s">
        <v>221</v>
      </c>
      <c r="H347" s="46"/>
    </row>
    <row r="348" spans="1:13" s="9" customFormat="1" x14ac:dyDescent="0.25">
      <c r="A348" s="35" t="s">
        <v>223</v>
      </c>
      <c r="B348" s="46"/>
      <c r="C348" s="35" t="s">
        <v>216</v>
      </c>
      <c r="D348" s="46"/>
      <c r="E348" s="35" t="s">
        <v>218</v>
      </c>
      <c r="F348" s="46"/>
      <c r="G348" s="35" t="s">
        <v>225</v>
      </c>
      <c r="H348" s="46"/>
    </row>
    <row r="349" spans="1:13" s="9" customFormat="1" x14ac:dyDescent="0.25">
      <c r="A349" s="35" t="s">
        <v>226</v>
      </c>
      <c r="B349" s="46"/>
      <c r="C349" s="35" t="s">
        <v>227</v>
      </c>
      <c r="D349" s="46"/>
      <c r="E349" s="35" t="s">
        <v>229</v>
      </c>
      <c r="F349" s="46"/>
      <c r="G349" s="35" t="s">
        <v>230</v>
      </c>
      <c r="H349" s="46"/>
    </row>
    <row r="350" spans="1:13" s="9" customFormat="1" x14ac:dyDescent="0.25">
      <c r="A350" s="35" t="s">
        <v>231</v>
      </c>
      <c r="B350" s="46"/>
      <c r="C350" s="35"/>
      <c r="D350" s="46"/>
      <c r="E350" s="35" t="s">
        <v>232</v>
      </c>
      <c r="F350" s="46"/>
      <c r="G350" s="35" t="s">
        <v>234</v>
      </c>
      <c r="H350" s="46"/>
    </row>
    <row r="351" spans="1:13" s="9" customFormat="1" x14ac:dyDescent="0.25">
      <c r="A351" s="35"/>
      <c r="B351" s="46"/>
      <c r="C351" s="35"/>
      <c r="D351" s="46"/>
      <c r="E351" s="35" t="s">
        <v>236</v>
      </c>
      <c r="F351" s="46"/>
      <c r="G351" s="35" t="s">
        <v>237</v>
      </c>
      <c r="H351" s="46"/>
    </row>
    <row r="352" spans="1:13" s="9" customFormat="1" x14ac:dyDescent="0.25">
      <c r="A352" s="35"/>
      <c r="B352" s="46"/>
      <c r="C352" s="35"/>
      <c r="D352" s="46"/>
      <c r="E352" s="35"/>
      <c r="F352" s="46"/>
      <c r="G352" s="35" t="s">
        <v>154</v>
      </c>
      <c r="H352" s="46"/>
    </row>
    <row r="353" spans="1:13" s="14" customFormat="1" x14ac:dyDescent="0.25">
      <c r="A353" s="47"/>
      <c r="B353" s="48"/>
      <c r="C353" s="47"/>
      <c r="D353" s="48"/>
      <c r="E353" s="47"/>
      <c r="F353" s="48"/>
      <c r="G353" s="47"/>
      <c r="H353" s="49"/>
      <c r="I353" s="9"/>
      <c r="J353" s="9"/>
      <c r="K353" s="9"/>
      <c r="L353" s="9"/>
      <c r="M353" s="9"/>
    </row>
    <row r="354" spans="1:13" s="9" customFormat="1" x14ac:dyDescent="0.25">
      <c r="A354" s="35" t="s">
        <v>208</v>
      </c>
      <c r="B354" s="46"/>
      <c r="C354" s="35" t="s">
        <v>210</v>
      </c>
      <c r="D354" s="46"/>
      <c r="E354" s="35" t="s">
        <v>212</v>
      </c>
      <c r="F354" s="46"/>
      <c r="G354" s="35" t="s">
        <v>214</v>
      </c>
      <c r="H354" s="46"/>
    </row>
    <row r="355" spans="1:13" s="9" customFormat="1" x14ac:dyDescent="0.25">
      <c r="A355" s="35" t="s">
        <v>216</v>
      </c>
      <c r="B355" s="46"/>
      <c r="C355" s="35" t="s">
        <v>218</v>
      </c>
      <c r="D355" s="46"/>
      <c r="E355" s="35" t="s">
        <v>219</v>
      </c>
      <c r="F355" s="46"/>
      <c r="G355" s="35" t="s">
        <v>221</v>
      </c>
      <c r="H355" s="46"/>
    </row>
    <row r="356" spans="1:13" s="9" customFormat="1" x14ac:dyDescent="0.25">
      <c r="A356" s="35" t="s">
        <v>223</v>
      </c>
      <c r="B356" s="46"/>
      <c r="C356" s="35" t="s">
        <v>216</v>
      </c>
      <c r="D356" s="46"/>
      <c r="E356" s="35" t="s">
        <v>218</v>
      </c>
      <c r="F356" s="46"/>
      <c r="G356" s="35" t="s">
        <v>225</v>
      </c>
      <c r="H356" s="46"/>
    </row>
    <row r="357" spans="1:13" s="9" customFormat="1" x14ac:dyDescent="0.25">
      <c r="A357" s="35" t="s">
        <v>226</v>
      </c>
      <c r="B357" s="46"/>
      <c r="C357" s="35" t="s">
        <v>227</v>
      </c>
      <c r="D357" s="46"/>
      <c r="E357" s="35" t="s">
        <v>229</v>
      </c>
      <c r="F357" s="46"/>
      <c r="G357" s="35" t="s">
        <v>230</v>
      </c>
      <c r="H357" s="46"/>
    </row>
    <row r="358" spans="1:13" s="9" customFormat="1" x14ac:dyDescent="0.25">
      <c r="A358" s="35" t="s">
        <v>231</v>
      </c>
      <c r="B358" s="46"/>
      <c r="C358" s="35"/>
      <c r="D358" s="46"/>
      <c r="E358" s="35" t="s">
        <v>232</v>
      </c>
      <c r="F358" s="46"/>
      <c r="G358" s="35" t="s">
        <v>234</v>
      </c>
      <c r="H358" s="46"/>
    </row>
    <row r="359" spans="1:13" s="9" customFormat="1" x14ac:dyDescent="0.25">
      <c r="A359" s="35"/>
      <c r="B359" s="46"/>
      <c r="C359" s="35"/>
      <c r="D359" s="46"/>
      <c r="E359" s="35" t="s">
        <v>236</v>
      </c>
      <c r="F359" s="46"/>
      <c r="G359" s="35" t="s">
        <v>237</v>
      </c>
      <c r="H359" s="46"/>
    </row>
    <row r="360" spans="1:13" s="9" customFormat="1" x14ac:dyDescent="0.25">
      <c r="A360" s="35"/>
      <c r="B360" s="46"/>
      <c r="C360" s="35"/>
      <c r="D360" s="46"/>
      <c r="E360" s="35"/>
      <c r="F360" s="46"/>
      <c r="G360" s="35" t="s">
        <v>154</v>
      </c>
      <c r="H360" s="46"/>
    </row>
    <row r="361" spans="1:13" s="14" customFormat="1" x14ac:dyDescent="0.25">
      <c r="A361" s="47"/>
      <c r="B361" s="48"/>
      <c r="C361" s="47"/>
      <c r="D361" s="48"/>
      <c r="E361" s="47"/>
      <c r="F361" s="48"/>
      <c r="G361" s="47"/>
      <c r="H361" s="49"/>
      <c r="I361" s="9"/>
      <c r="J361" s="9"/>
      <c r="K361" s="9"/>
      <c r="L361" s="9"/>
      <c r="M361" s="9"/>
    </row>
    <row r="362" spans="1:13" s="9" customFormat="1" x14ac:dyDescent="0.25">
      <c r="A362" s="35" t="s">
        <v>208</v>
      </c>
      <c r="B362" s="46"/>
      <c r="C362" s="35" t="s">
        <v>210</v>
      </c>
      <c r="D362" s="46"/>
      <c r="E362" s="35" t="s">
        <v>212</v>
      </c>
      <c r="F362" s="46"/>
      <c r="G362" s="35" t="s">
        <v>214</v>
      </c>
      <c r="H362" s="46"/>
    </row>
    <row r="363" spans="1:13" s="9" customFormat="1" x14ac:dyDescent="0.25">
      <c r="A363" s="35" t="s">
        <v>216</v>
      </c>
      <c r="B363" s="46"/>
      <c r="C363" s="35" t="s">
        <v>218</v>
      </c>
      <c r="D363" s="46"/>
      <c r="E363" s="35" t="s">
        <v>219</v>
      </c>
      <c r="F363" s="46"/>
      <c r="G363" s="35" t="s">
        <v>221</v>
      </c>
      <c r="H363" s="46"/>
    </row>
    <row r="364" spans="1:13" s="9" customFormat="1" x14ac:dyDescent="0.25">
      <c r="A364" s="35" t="s">
        <v>223</v>
      </c>
      <c r="B364" s="46"/>
      <c r="C364" s="35" t="s">
        <v>216</v>
      </c>
      <c r="D364" s="46"/>
      <c r="E364" s="35" t="s">
        <v>218</v>
      </c>
      <c r="F364" s="46"/>
      <c r="G364" s="35" t="s">
        <v>225</v>
      </c>
      <c r="H364" s="46"/>
    </row>
    <row r="365" spans="1:13" s="9" customFormat="1" x14ac:dyDescent="0.25">
      <c r="A365" s="35" t="s">
        <v>226</v>
      </c>
      <c r="B365" s="46"/>
      <c r="C365" s="35" t="s">
        <v>227</v>
      </c>
      <c r="D365" s="46"/>
      <c r="E365" s="35" t="s">
        <v>229</v>
      </c>
      <c r="F365" s="46"/>
      <c r="G365" s="35" t="s">
        <v>230</v>
      </c>
      <c r="H365" s="46"/>
    </row>
    <row r="366" spans="1:13" s="9" customFormat="1" x14ac:dyDescent="0.25">
      <c r="A366" s="35" t="s">
        <v>231</v>
      </c>
      <c r="B366" s="46"/>
      <c r="C366" s="35"/>
      <c r="D366" s="46"/>
      <c r="E366" s="35" t="s">
        <v>232</v>
      </c>
      <c r="F366" s="46"/>
      <c r="G366" s="35" t="s">
        <v>234</v>
      </c>
      <c r="H366" s="46"/>
    </row>
    <row r="367" spans="1:13" s="9" customFormat="1" x14ac:dyDescent="0.25">
      <c r="A367" s="35"/>
      <c r="B367" s="46"/>
      <c r="C367" s="35"/>
      <c r="D367" s="46"/>
      <c r="E367" s="35" t="s">
        <v>236</v>
      </c>
      <c r="F367" s="46"/>
      <c r="G367" s="35" t="s">
        <v>237</v>
      </c>
      <c r="H367" s="46"/>
    </row>
    <row r="368" spans="1:13" s="9" customFormat="1" x14ac:dyDescent="0.25">
      <c r="A368" s="35"/>
      <c r="B368" s="46"/>
      <c r="C368" s="35"/>
      <c r="D368" s="46"/>
      <c r="E368" s="35"/>
      <c r="F368" s="46"/>
      <c r="G368" s="35" t="s">
        <v>154</v>
      </c>
      <c r="H368" s="46"/>
    </row>
    <row r="369" spans="1:13" s="14" customFormat="1" x14ac:dyDescent="0.25">
      <c r="A369" s="47"/>
      <c r="B369" s="48"/>
      <c r="C369" s="47"/>
      <c r="D369" s="48"/>
      <c r="E369" s="47"/>
      <c r="F369" s="48"/>
      <c r="G369" s="47"/>
      <c r="H369" s="49"/>
      <c r="I369" s="9"/>
      <c r="J369" s="9"/>
      <c r="K369" s="9"/>
      <c r="L369" s="9"/>
      <c r="M369" s="9"/>
    </row>
    <row r="370" spans="1:13" s="9" customFormat="1" x14ac:dyDescent="0.25">
      <c r="A370" s="35" t="s">
        <v>208</v>
      </c>
      <c r="B370" s="46"/>
      <c r="C370" s="35" t="s">
        <v>210</v>
      </c>
      <c r="D370" s="46"/>
      <c r="E370" s="35" t="s">
        <v>212</v>
      </c>
      <c r="F370" s="46"/>
      <c r="G370" s="35" t="s">
        <v>214</v>
      </c>
      <c r="H370" s="46"/>
    </row>
    <row r="371" spans="1:13" s="9" customFormat="1" x14ac:dyDescent="0.25">
      <c r="A371" s="35" t="s">
        <v>216</v>
      </c>
      <c r="B371" s="46"/>
      <c r="C371" s="35" t="s">
        <v>218</v>
      </c>
      <c r="D371" s="46"/>
      <c r="E371" s="35" t="s">
        <v>219</v>
      </c>
      <c r="F371" s="46"/>
      <c r="G371" s="35" t="s">
        <v>221</v>
      </c>
      <c r="H371" s="46"/>
    </row>
    <row r="372" spans="1:13" s="9" customFormat="1" x14ac:dyDescent="0.25">
      <c r="A372" s="35" t="s">
        <v>223</v>
      </c>
      <c r="B372" s="46"/>
      <c r="C372" s="35" t="s">
        <v>216</v>
      </c>
      <c r="D372" s="46"/>
      <c r="E372" s="35" t="s">
        <v>218</v>
      </c>
      <c r="F372" s="46"/>
      <c r="G372" s="35" t="s">
        <v>225</v>
      </c>
      <c r="H372" s="46"/>
    </row>
    <row r="373" spans="1:13" s="9" customFormat="1" x14ac:dyDescent="0.25">
      <c r="A373" s="35" t="s">
        <v>226</v>
      </c>
      <c r="B373" s="46"/>
      <c r="C373" s="35" t="s">
        <v>227</v>
      </c>
      <c r="D373" s="46"/>
      <c r="E373" s="35" t="s">
        <v>229</v>
      </c>
      <c r="F373" s="46"/>
      <c r="G373" s="35" t="s">
        <v>230</v>
      </c>
      <c r="H373" s="46"/>
    </row>
    <row r="374" spans="1:13" s="9" customFormat="1" x14ac:dyDescent="0.25">
      <c r="A374" s="35" t="s">
        <v>231</v>
      </c>
      <c r="B374" s="46"/>
      <c r="C374" s="35"/>
      <c r="D374" s="46"/>
      <c r="E374" s="35" t="s">
        <v>232</v>
      </c>
      <c r="F374" s="46"/>
      <c r="G374" s="35" t="s">
        <v>234</v>
      </c>
      <c r="H374" s="46"/>
    </row>
    <row r="375" spans="1:13" s="9" customFormat="1" x14ac:dyDescent="0.25">
      <c r="A375" s="35"/>
      <c r="B375" s="46"/>
      <c r="C375" s="35"/>
      <c r="D375" s="46"/>
      <c r="E375" s="35" t="s">
        <v>236</v>
      </c>
      <c r="F375" s="46"/>
      <c r="G375" s="35" t="s">
        <v>237</v>
      </c>
      <c r="H375" s="46"/>
    </row>
    <row r="376" spans="1:13" s="9" customFormat="1" x14ac:dyDescent="0.25">
      <c r="A376" s="35"/>
      <c r="B376" s="46"/>
      <c r="C376" s="35"/>
      <c r="D376" s="46"/>
      <c r="E376" s="35"/>
      <c r="F376" s="46"/>
      <c r="G376" s="35" t="s">
        <v>154</v>
      </c>
      <c r="H376" s="46"/>
    </row>
    <row r="377" spans="1:13" s="14" customFormat="1" x14ac:dyDescent="0.25">
      <c r="A377" s="47"/>
      <c r="B377" s="48"/>
      <c r="C377" s="47"/>
      <c r="D377" s="48"/>
      <c r="E377" s="47"/>
      <c r="F377" s="48"/>
      <c r="G377" s="47"/>
      <c r="H377" s="49"/>
      <c r="I377" s="9"/>
      <c r="J377" s="9"/>
      <c r="K377" s="9"/>
      <c r="L377" s="9"/>
      <c r="M377" s="9"/>
    </row>
    <row r="378" spans="1:13" s="9" customFormat="1" x14ac:dyDescent="0.25">
      <c r="A378" s="35" t="s">
        <v>208</v>
      </c>
      <c r="B378" s="46"/>
      <c r="C378" s="35" t="s">
        <v>210</v>
      </c>
      <c r="D378" s="46"/>
      <c r="E378" s="35" t="s">
        <v>212</v>
      </c>
      <c r="F378" s="46"/>
      <c r="G378" s="35" t="s">
        <v>214</v>
      </c>
      <c r="H378" s="46"/>
    </row>
    <row r="379" spans="1:13" s="9" customFormat="1" x14ac:dyDescent="0.25">
      <c r="A379" s="35" t="s">
        <v>216</v>
      </c>
      <c r="B379" s="46"/>
      <c r="C379" s="35" t="s">
        <v>218</v>
      </c>
      <c r="D379" s="46"/>
      <c r="E379" s="35" t="s">
        <v>219</v>
      </c>
      <c r="F379" s="46"/>
      <c r="G379" s="35" t="s">
        <v>221</v>
      </c>
      <c r="H379" s="46"/>
    </row>
    <row r="380" spans="1:13" s="9" customFormat="1" x14ac:dyDescent="0.25">
      <c r="A380" s="35" t="s">
        <v>223</v>
      </c>
      <c r="B380" s="46"/>
      <c r="C380" s="35" t="s">
        <v>216</v>
      </c>
      <c r="D380" s="46"/>
      <c r="E380" s="35" t="s">
        <v>218</v>
      </c>
      <c r="F380" s="46"/>
      <c r="G380" s="35" t="s">
        <v>225</v>
      </c>
      <c r="H380" s="46"/>
    </row>
    <row r="381" spans="1:13" s="9" customFormat="1" x14ac:dyDescent="0.25">
      <c r="A381" s="35" t="s">
        <v>226</v>
      </c>
      <c r="B381" s="46"/>
      <c r="C381" s="35" t="s">
        <v>227</v>
      </c>
      <c r="D381" s="46"/>
      <c r="E381" s="35" t="s">
        <v>229</v>
      </c>
      <c r="F381" s="46"/>
      <c r="G381" s="35" t="s">
        <v>230</v>
      </c>
      <c r="H381" s="46"/>
    </row>
    <row r="382" spans="1:13" s="9" customFormat="1" x14ac:dyDescent="0.25">
      <c r="A382" s="35" t="s">
        <v>231</v>
      </c>
      <c r="B382" s="46"/>
      <c r="C382" s="35"/>
      <c r="D382" s="46"/>
      <c r="E382" s="35" t="s">
        <v>232</v>
      </c>
      <c r="F382" s="46"/>
      <c r="G382" s="35" t="s">
        <v>234</v>
      </c>
      <c r="H382" s="46"/>
    </row>
    <row r="383" spans="1:13" s="9" customFormat="1" x14ac:dyDescent="0.25">
      <c r="A383" s="35"/>
      <c r="B383" s="46"/>
      <c r="C383" s="35"/>
      <c r="D383" s="46"/>
      <c r="E383" s="35" t="s">
        <v>236</v>
      </c>
      <c r="F383" s="46"/>
      <c r="G383" s="35" t="s">
        <v>237</v>
      </c>
      <c r="H383" s="46"/>
    </row>
    <row r="384" spans="1:13" s="9" customFormat="1" x14ac:dyDescent="0.25">
      <c r="A384" s="35"/>
      <c r="B384" s="46"/>
      <c r="C384" s="35"/>
      <c r="D384" s="46"/>
      <c r="E384" s="35"/>
      <c r="F384" s="46"/>
      <c r="G384" s="35" t="s">
        <v>154</v>
      </c>
      <c r="H384" s="46"/>
    </row>
    <row r="385" spans="1:13" s="14" customFormat="1" x14ac:dyDescent="0.25">
      <c r="A385" s="47"/>
      <c r="B385" s="48"/>
      <c r="C385" s="47"/>
      <c r="D385" s="48"/>
      <c r="E385" s="47"/>
      <c r="F385" s="48"/>
      <c r="G385" s="47"/>
      <c r="H385" s="49"/>
      <c r="I385" s="9"/>
      <c r="J385" s="9"/>
      <c r="K385" s="9"/>
      <c r="L385" s="9"/>
      <c r="M385" s="9"/>
    </row>
    <row r="386" spans="1:13" s="9" customFormat="1" x14ac:dyDescent="0.25">
      <c r="A386" s="35" t="s">
        <v>208</v>
      </c>
      <c r="B386" s="46"/>
      <c r="C386" s="35" t="s">
        <v>210</v>
      </c>
      <c r="D386" s="46"/>
      <c r="E386" s="35" t="s">
        <v>212</v>
      </c>
      <c r="F386" s="46"/>
      <c r="G386" s="35" t="s">
        <v>214</v>
      </c>
      <c r="H386" s="46"/>
    </row>
    <row r="387" spans="1:13" s="9" customFormat="1" x14ac:dyDescent="0.25">
      <c r="A387" s="35" t="s">
        <v>216</v>
      </c>
      <c r="B387" s="46"/>
      <c r="C387" s="35" t="s">
        <v>218</v>
      </c>
      <c r="D387" s="46"/>
      <c r="E387" s="35" t="s">
        <v>219</v>
      </c>
      <c r="F387" s="46"/>
      <c r="G387" s="35" t="s">
        <v>221</v>
      </c>
      <c r="H387" s="46"/>
    </row>
    <row r="388" spans="1:13" s="9" customFormat="1" x14ac:dyDescent="0.25">
      <c r="A388" s="35" t="s">
        <v>223</v>
      </c>
      <c r="B388" s="46"/>
      <c r="C388" s="35" t="s">
        <v>216</v>
      </c>
      <c r="D388" s="46"/>
      <c r="E388" s="35" t="s">
        <v>218</v>
      </c>
      <c r="F388" s="46"/>
      <c r="G388" s="35" t="s">
        <v>225</v>
      </c>
      <c r="H388" s="46"/>
    </row>
    <row r="389" spans="1:13" s="9" customFormat="1" x14ac:dyDescent="0.25">
      <c r="A389" s="35" t="s">
        <v>226</v>
      </c>
      <c r="B389" s="46"/>
      <c r="C389" s="35" t="s">
        <v>227</v>
      </c>
      <c r="D389" s="46"/>
      <c r="E389" s="35" t="s">
        <v>229</v>
      </c>
      <c r="F389" s="46"/>
      <c r="G389" s="35" t="s">
        <v>230</v>
      </c>
      <c r="H389" s="46"/>
    </row>
    <row r="390" spans="1:13" s="9" customFormat="1" x14ac:dyDescent="0.25">
      <c r="A390" s="35" t="s">
        <v>231</v>
      </c>
      <c r="B390" s="46"/>
      <c r="C390" s="35"/>
      <c r="D390" s="46"/>
      <c r="E390" s="35" t="s">
        <v>232</v>
      </c>
      <c r="F390" s="46"/>
      <c r="G390" s="35" t="s">
        <v>234</v>
      </c>
      <c r="H390" s="46"/>
    </row>
    <row r="391" spans="1:13" s="9" customFormat="1" x14ac:dyDescent="0.25">
      <c r="A391" s="35"/>
      <c r="B391" s="46"/>
      <c r="C391" s="35"/>
      <c r="D391" s="46"/>
      <c r="E391" s="35" t="s">
        <v>236</v>
      </c>
      <c r="F391" s="46"/>
      <c r="G391" s="35" t="s">
        <v>237</v>
      </c>
      <c r="H391" s="46"/>
    </row>
    <row r="392" spans="1:13" s="9" customFormat="1" x14ac:dyDescent="0.25">
      <c r="A392" s="35"/>
      <c r="B392" s="46"/>
      <c r="C392" s="35"/>
      <c r="D392" s="46"/>
      <c r="E392" s="35"/>
      <c r="F392" s="46"/>
      <c r="G392" s="35" t="s">
        <v>154</v>
      </c>
      <c r="H392" s="46"/>
    </row>
    <row r="393" spans="1:13" s="14" customFormat="1" x14ac:dyDescent="0.25">
      <c r="A393" s="47"/>
      <c r="B393" s="48"/>
      <c r="C393" s="47"/>
      <c r="D393" s="48"/>
      <c r="E393" s="47"/>
      <c r="F393" s="48"/>
      <c r="G393" s="47"/>
      <c r="H393" s="49"/>
      <c r="I393" s="9"/>
      <c r="J393" s="9"/>
      <c r="K393" s="9"/>
      <c r="L393" s="9"/>
      <c r="M393" s="9"/>
    </row>
    <row r="394" spans="1:13" s="9" customFormat="1" x14ac:dyDescent="0.25">
      <c r="A394" s="35" t="s">
        <v>208</v>
      </c>
      <c r="B394" s="46"/>
      <c r="C394" s="35" t="s">
        <v>210</v>
      </c>
      <c r="D394" s="46"/>
      <c r="E394" s="35" t="s">
        <v>212</v>
      </c>
      <c r="F394" s="46"/>
      <c r="G394" s="35" t="s">
        <v>214</v>
      </c>
      <c r="H394" s="46"/>
    </row>
    <row r="395" spans="1:13" s="9" customFormat="1" x14ac:dyDescent="0.25">
      <c r="A395" s="35" t="s">
        <v>216</v>
      </c>
      <c r="B395" s="46"/>
      <c r="C395" s="35" t="s">
        <v>218</v>
      </c>
      <c r="D395" s="46"/>
      <c r="E395" s="35" t="s">
        <v>219</v>
      </c>
      <c r="F395" s="46"/>
      <c r="G395" s="35" t="s">
        <v>221</v>
      </c>
      <c r="H395" s="46"/>
    </row>
    <row r="396" spans="1:13" s="9" customFormat="1" x14ac:dyDescent="0.25">
      <c r="A396" s="35" t="s">
        <v>223</v>
      </c>
      <c r="B396" s="46"/>
      <c r="C396" s="35" t="s">
        <v>216</v>
      </c>
      <c r="D396" s="46"/>
      <c r="E396" s="35" t="s">
        <v>218</v>
      </c>
      <c r="F396" s="46"/>
      <c r="G396" s="35" t="s">
        <v>225</v>
      </c>
      <c r="H396" s="46"/>
    </row>
    <row r="397" spans="1:13" s="9" customFormat="1" x14ac:dyDescent="0.25">
      <c r="A397" s="35" t="s">
        <v>226</v>
      </c>
      <c r="B397" s="46"/>
      <c r="C397" s="35" t="s">
        <v>227</v>
      </c>
      <c r="D397" s="46"/>
      <c r="E397" s="35" t="s">
        <v>229</v>
      </c>
      <c r="F397" s="46"/>
      <c r="G397" s="35" t="s">
        <v>230</v>
      </c>
      <c r="H397" s="46"/>
    </row>
    <row r="398" spans="1:13" s="9" customFormat="1" x14ac:dyDescent="0.25">
      <c r="A398" s="35" t="s">
        <v>231</v>
      </c>
      <c r="B398" s="46"/>
      <c r="C398" s="35"/>
      <c r="D398" s="46"/>
      <c r="E398" s="35" t="s">
        <v>232</v>
      </c>
      <c r="F398" s="46"/>
      <c r="G398" s="35" t="s">
        <v>234</v>
      </c>
      <c r="H398" s="46"/>
    </row>
    <row r="399" spans="1:13" s="9" customFormat="1" x14ac:dyDescent="0.25">
      <c r="A399" s="35"/>
      <c r="B399" s="46"/>
      <c r="C399" s="35"/>
      <c r="D399" s="46"/>
      <c r="E399" s="35" t="s">
        <v>236</v>
      </c>
      <c r="F399" s="46"/>
      <c r="G399" s="35" t="s">
        <v>237</v>
      </c>
      <c r="H399" s="46"/>
    </row>
    <row r="400" spans="1:13" s="9" customFormat="1" x14ac:dyDescent="0.25">
      <c r="A400" s="35"/>
      <c r="B400" s="46"/>
      <c r="C400" s="35"/>
      <c r="D400" s="46"/>
      <c r="E400" s="35"/>
      <c r="F400" s="46"/>
      <c r="G400" s="35" t="s">
        <v>154</v>
      </c>
      <c r="H400" s="46"/>
    </row>
    <row r="401" spans="1:8" s="9" customFormat="1" x14ac:dyDescent="0.25">
      <c r="A401" s="15"/>
      <c r="B401" s="22"/>
      <c r="C401" s="15"/>
      <c r="D401" s="22"/>
      <c r="E401" s="15"/>
      <c r="F401" s="23"/>
      <c r="G401" s="15"/>
      <c r="H401" s="23"/>
    </row>
    <row r="402" spans="1:8" s="9" customFormat="1" x14ac:dyDescent="0.25">
      <c r="B402" s="10"/>
      <c r="D402" s="10"/>
      <c r="F402" s="10"/>
      <c r="H402" s="10"/>
    </row>
    <row r="403" spans="1:8" s="9" customFormat="1" x14ac:dyDescent="0.25">
      <c r="B403" s="10"/>
      <c r="D403" s="10"/>
      <c r="F403" s="10"/>
      <c r="H403" s="10"/>
    </row>
    <row r="404" spans="1:8" s="9" customFormat="1" x14ac:dyDescent="0.25">
      <c r="B404" s="10"/>
      <c r="D404" s="10"/>
      <c r="F404" s="10"/>
      <c r="H404" s="10"/>
    </row>
    <row r="405" spans="1:8" s="9" customFormat="1" x14ac:dyDescent="0.25">
      <c r="B405" s="10"/>
      <c r="D405" s="10"/>
      <c r="F405" s="10"/>
      <c r="H405" s="10"/>
    </row>
    <row r="406" spans="1:8" s="9" customFormat="1" x14ac:dyDescent="0.25">
      <c r="B406" s="10"/>
      <c r="D406" s="10"/>
      <c r="F406" s="10"/>
      <c r="H406" s="10"/>
    </row>
    <row r="407" spans="1:8" s="9" customFormat="1" x14ac:dyDescent="0.25">
      <c r="B407" s="10"/>
      <c r="D407" s="10"/>
      <c r="F407" s="10"/>
      <c r="H407" s="10"/>
    </row>
    <row r="408" spans="1:8" s="9" customFormat="1" x14ac:dyDescent="0.25">
      <c r="B408" s="10"/>
      <c r="D408" s="10"/>
      <c r="F408" s="10"/>
      <c r="H408" s="10"/>
    </row>
    <row r="409" spans="1:8" s="9" customFormat="1" x14ac:dyDescent="0.25">
      <c r="B409" s="10"/>
      <c r="D409" s="10"/>
      <c r="F409" s="10"/>
      <c r="H409" s="10"/>
    </row>
    <row r="410" spans="1:8" s="9" customFormat="1" x14ac:dyDescent="0.25">
      <c r="B410" s="10"/>
      <c r="D410" s="10"/>
      <c r="F410" s="10"/>
      <c r="H410" s="10"/>
    </row>
    <row r="411" spans="1:8" s="9" customFormat="1" x14ac:dyDescent="0.25">
      <c r="B411" s="10"/>
      <c r="D411" s="10"/>
      <c r="F411" s="10"/>
      <c r="H411" s="10"/>
    </row>
    <row r="412" spans="1:8" s="9" customFormat="1" x14ac:dyDescent="0.25">
      <c r="B412" s="10"/>
      <c r="D412" s="10"/>
      <c r="F412" s="10"/>
      <c r="H412" s="10"/>
    </row>
    <row r="413" spans="1:8" s="9" customFormat="1" x14ac:dyDescent="0.25">
      <c r="B413" s="10"/>
      <c r="D413" s="10"/>
      <c r="F413" s="10"/>
      <c r="H413" s="10"/>
    </row>
    <row r="414" spans="1:8" s="9" customFormat="1" x14ac:dyDescent="0.25">
      <c r="B414" s="10"/>
      <c r="D414" s="10"/>
      <c r="F414" s="10"/>
      <c r="H414" s="10"/>
    </row>
    <row r="415" spans="1:8" s="9" customFormat="1" x14ac:dyDescent="0.25">
      <c r="B415" s="10"/>
      <c r="D415" s="10"/>
      <c r="F415" s="10"/>
      <c r="H415" s="10"/>
    </row>
    <row r="416" spans="1:8" s="9" customFormat="1" x14ac:dyDescent="0.25">
      <c r="B416" s="10"/>
      <c r="D416" s="10"/>
      <c r="F416" s="10"/>
      <c r="H416" s="10"/>
    </row>
    <row r="417" spans="2:8" s="9" customFormat="1" x14ac:dyDescent="0.25">
      <c r="B417" s="10"/>
      <c r="D417" s="10"/>
      <c r="F417" s="10"/>
      <c r="H417" s="10"/>
    </row>
    <row r="418" spans="2:8" s="9" customFormat="1" x14ac:dyDescent="0.25">
      <c r="B418" s="10"/>
      <c r="D418" s="10"/>
      <c r="F418" s="10"/>
      <c r="H418" s="10"/>
    </row>
    <row r="419" spans="2:8" s="9" customFormat="1" x14ac:dyDescent="0.25">
      <c r="B419" s="10"/>
      <c r="D419" s="10"/>
      <c r="F419" s="10"/>
      <c r="H419" s="10"/>
    </row>
    <row r="420" spans="2:8" s="9" customFormat="1" x14ac:dyDescent="0.25">
      <c r="B420" s="10"/>
      <c r="D420" s="10"/>
      <c r="F420" s="10"/>
      <c r="H420" s="10"/>
    </row>
    <row r="421" spans="2:8" s="9" customFormat="1" x14ac:dyDescent="0.25">
      <c r="B421" s="10"/>
      <c r="D421" s="10"/>
      <c r="F421" s="10"/>
      <c r="H421" s="10"/>
    </row>
    <row r="422" spans="2:8" s="9" customFormat="1" x14ac:dyDescent="0.25">
      <c r="B422" s="10"/>
      <c r="D422" s="10"/>
      <c r="F422" s="10"/>
      <c r="H422" s="10"/>
    </row>
    <row r="423" spans="2:8" s="9" customFormat="1" x14ac:dyDescent="0.25">
      <c r="B423" s="10"/>
      <c r="D423" s="10"/>
      <c r="F423" s="10"/>
      <c r="H423" s="10"/>
    </row>
    <row r="424" spans="2:8" s="9" customFormat="1" x14ac:dyDescent="0.25">
      <c r="B424" s="10"/>
      <c r="D424" s="10"/>
      <c r="F424" s="10"/>
      <c r="H424" s="10"/>
    </row>
    <row r="425" spans="2:8" s="9" customFormat="1" x14ac:dyDescent="0.25">
      <c r="B425" s="10"/>
      <c r="D425" s="10"/>
      <c r="F425" s="10"/>
      <c r="H425" s="10"/>
    </row>
    <row r="426" spans="2:8" s="9" customFormat="1" x14ac:dyDescent="0.25">
      <c r="B426" s="10"/>
      <c r="D426" s="10"/>
      <c r="F426" s="10"/>
      <c r="H426" s="10"/>
    </row>
    <row r="427" spans="2:8" s="9" customFormat="1" x14ac:dyDescent="0.25">
      <c r="B427" s="10"/>
      <c r="D427" s="10"/>
      <c r="F427" s="10"/>
      <c r="H427" s="10"/>
    </row>
    <row r="428" spans="2:8" s="9" customFormat="1" x14ac:dyDescent="0.25">
      <c r="B428" s="10"/>
      <c r="D428" s="10"/>
      <c r="F428" s="10"/>
      <c r="H428" s="10"/>
    </row>
    <row r="429" spans="2:8" s="9" customFormat="1" x14ac:dyDescent="0.25">
      <c r="B429" s="10"/>
      <c r="D429" s="10"/>
      <c r="F429" s="10"/>
      <c r="H429" s="10"/>
    </row>
    <row r="430" spans="2:8" s="9" customFormat="1" x14ac:dyDescent="0.25">
      <c r="B430" s="10"/>
      <c r="D430" s="10"/>
      <c r="F430" s="10"/>
      <c r="H430" s="10"/>
    </row>
    <row r="431" spans="2:8" s="9" customFormat="1" x14ac:dyDescent="0.25">
      <c r="B431" s="10"/>
      <c r="D431" s="10"/>
      <c r="F431" s="10"/>
      <c r="H431" s="10"/>
    </row>
    <row r="432" spans="2:8" s="9" customFormat="1" x14ac:dyDescent="0.25">
      <c r="B432" s="10"/>
      <c r="D432" s="10"/>
      <c r="F432" s="10"/>
      <c r="H432" s="10"/>
    </row>
    <row r="433" spans="2:8" s="9" customFormat="1" x14ac:dyDescent="0.25">
      <c r="B433" s="10"/>
      <c r="D433" s="10"/>
      <c r="F433" s="10"/>
      <c r="H433" s="10"/>
    </row>
    <row r="434" spans="2:8" s="9" customFormat="1" x14ac:dyDescent="0.25">
      <c r="B434" s="10"/>
      <c r="D434" s="10"/>
      <c r="F434" s="10"/>
      <c r="H434" s="10"/>
    </row>
    <row r="435" spans="2:8" s="9" customFormat="1" x14ac:dyDescent="0.25">
      <c r="B435" s="10"/>
      <c r="D435" s="10"/>
      <c r="F435" s="10"/>
      <c r="H435" s="10"/>
    </row>
    <row r="436" spans="2:8" s="9" customFormat="1" x14ac:dyDescent="0.25">
      <c r="B436" s="10"/>
      <c r="D436" s="10"/>
      <c r="F436" s="10"/>
      <c r="H436" s="10"/>
    </row>
    <row r="437" spans="2:8" s="9" customFormat="1" x14ac:dyDescent="0.25">
      <c r="B437" s="10"/>
      <c r="D437" s="10"/>
      <c r="F437" s="10"/>
      <c r="H437" s="10"/>
    </row>
    <row r="438" spans="2:8" s="9" customFormat="1" x14ac:dyDescent="0.25">
      <c r="B438" s="10"/>
      <c r="D438" s="10"/>
      <c r="F438" s="10"/>
      <c r="H438" s="10"/>
    </row>
    <row r="439" spans="2:8" s="9" customFormat="1" x14ac:dyDescent="0.25">
      <c r="B439" s="10"/>
      <c r="D439" s="10"/>
      <c r="F439" s="10"/>
      <c r="H439" s="10"/>
    </row>
    <row r="440" spans="2:8" s="9" customFormat="1" x14ac:dyDescent="0.25">
      <c r="B440" s="10"/>
      <c r="D440" s="10"/>
      <c r="F440" s="10"/>
      <c r="H440" s="10"/>
    </row>
    <row r="441" spans="2:8" s="9" customFormat="1" x14ac:dyDescent="0.25">
      <c r="B441" s="10"/>
      <c r="D441" s="10"/>
      <c r="F441" s="10"/>
      <c r="H441" s="10"/>
    </row>
    <row r="442" spans="2:8" s="9" customFormat="1" x14ac:dyDescent="0.25">
      <c r="B442" s="10"/>
      <c r="D442" s="10"/>
      <c r="F442" s="10"/>
      <c r="H442" s="10"/>
    </row>
    <row r="443" spans="2:8" s="9" customFormat="1" x14ac:dyDescent="0.25">
      <c r="B443" s="10"/>
      <c r="D443" s="10"/>
      <c r="F443" s="10"/>
      <c r="H443" s="10"/>
    </row>
    <row r="444" spans="2:8" s="9" customFormat="1" x14ac:dyDescent="0.25">
      <c r="B444" s="10"/>
      <c r="D444" s="10"/>
      <c r="F444" s="10"/>
      <c r="H444" s="10"/>
    </row>
    <row r="445" spans="2:8" s="9" customFormat="1" x14ac:dyDescent="0.25">
      <c r="B445" s="10"/>
      <c r="D445" s="10"/>
      <c r="F445" s="10"/>
      <c r="H445" s="10"/>
    </row>
    <row r="446" spans="2:8" s="9" customFormat="1" x14ac:dyDescent="0.25">
      <c r="B446" s="10"/>
      <c r="D446" s="10"/>
      <c r="F446" s="10"/>
      <c r="H446" s="10"/>
    </row>
    <row r="447" spans="2:8" s="9" customFormat="1" x14ac:dyDescent="0.25">
      <c r="B447" s="10"/>
      <c r="D447" s="10"/>
      <c r="F447" s="10"/>
      <c r="H447" s="10"/>
    </row>
    <row r="448" spans="2:8" s="9" customFormat="1" x14ac:dyDescent="0.25">
      <c r="B448" s="10"/>
      <c r="D448" s="10"/>
      <c r="F448" s="10"/>
      <c r="H448" s="10"/>
    </row>
    <row r="449" spans="2:8" s="9" customFormat="1" x14ac:dyDescent="0.25">
      <c r="B449" s="10"/>
      <c r="D449" s="10"/>
      <c r="F449" s="10"/>
      <c r="H449" s="10"/>
    </row>
    <row r="450" spans="2:8" s="9" customFormat="1" x14ac:dyDescent="0.25">
      <c r="B450" s="10"/>
      <c r="D450" s="10"/>
      <c r="F450" s="10"/>
      <c r="H450" s="10"/>
    </row>
    <row r="451" spans="2:8" s="9" customFormat="1" x14ac:dyDescent="0.25">
      <c r="B451" s="10"/>
      <c r="D451" s="10"/>
      <c r="F451" s="10"/>
      <c r="H451" s="10"/>
    </row>
    <row r="452" spans="2:8" s="9" customFormat="1" x14ac:dyDescent="0.25">
      <c r="B452" s="10"/>
      <c r="D452" s="10"/>
      <c r="F452" s="10"/>
      <c r="H452" s="10"/>
    </row>
    <row r="453" spans="2:8" s="9" customFormat="1" x14ac:dyDescent="0.25">
      <c r="B453" s="10"/>
      <c r="D453" s="10"/>
      <c r="F453" s="10"/>
      <c r="H453" s="10"/>
    </row>
    <row r="454" spans="2:8" s="9" customFormat="1" x14ac:dyDescent="0.25">
      <c r="B454" s="10"/>
      <c r="D454" s="10"/>
      <c r="F454" s="10"/>
      <c r="H454" s="10"/>
    </row>
    <row r="455" spans="2:8" s="9" customFormat="1" x14ac:dyDescent="0.25">
      <c r="B455" s="10"/>
      <c r="D455" s="10"/>
      <c r="F455" s="10"/>
      <c r="H455" s="10"/>
    </row>
    <row r="456" spans="2:8" s="9" customFormat="1" x14ac:dyDescent="0.25">
      <c r="B456" s="10"/>
      <c r="D456" s="10"/>
      <c r="F456" s="10"/>
      <c r="H456" s="10"/>
    </row>
    <row r="457" spans="2:8" s="9" customFormat="1" x14ac:dyDescent="0.25">
      <c r="B457" s="10"/>
      <c r="D457" s="10"/>
      <c r="F457" s="10"/>
      <c r="H457" s="10"/>
    </row>
    <row r="458" spans="2:8" s="9" customFormat="1" x14ac:dyDescent="0.25">
      <c r="B458" s="10"/>
      <c r="D458" s="10"/>
      <c r="F458" s="10"/>
      <c r="H458" s="10"/>
    </row>
    <row r="459" spans="2:8" s="9" customFormat="1" x14ac:dyDescent="0.25">
      <c r="B459" s="10"/>
      <c r="D459" s="10"/>
      <c r="F459" s="10"/>
      <c r="H459" s="10"/>
    </row>
    <row r="460" spans="2:8" s="9" customFormat="1" x14ac:dyDescent="0.25">
      <c r="B460" s="10"/>
      <c r="D460" s="10"/>
      <c r="F460" s="10"/>
      <c r="H460" s="10"/>
    </row>
    <row r="461" spans="2:8" s="9" customFormat="1" x14ac:dyDescent="0.25">
      <c r="B461" s="10"/>
      <c r="D461" s="10"/>
      <c r="F461" s="10"/>
      <c r="H461" s="10"/>
    </row>
    <row r="462" spans="2:8" s="9" customFormat="1" x14ac:dyDescent="0.25">
      <c r="B462" s="10"/>
      <c r="D462" s="10"/>
      <c r="F462" s="10"/>
      <c r="H462" s="10"/>
    </row>
    <row r="463" spans="2:8" s="9" customFormat="1" x14ac:dyDescent="0.25">
      <c r="B463" s="10"/>
      <c r="D463" s="10"/>
      <c r="F463" s="10"/>
      <c r="H463" s="10"/>
    </row>
    <row r="464" spans="2:8" s="9" customFormat="1" x14ac:dyDescent="0.25">
      <c r="B464" s="10"/>
      <c r="D464" s="10"/>
      <c r="F464" s="10"/>
      <c r="H464" s="10"/>
    </row>
    <row r="465" spans="2:8" s="9" customFormat="1" x14ac:dyDescent="0.25">
      <c r="B465" s="10"/>
      <c r="D465" s="10"/>
      <c r="F465" s="10"/>
      <c r="H465" s="10"/>
    </row>
    <row r="466" spans="2:8" s="9" customFormat="1" x14ac:dyDescent="0.25">
      <c r="B466" s="10"/>
      <c r="D466" s="10"/>
      <c r="F466" s="10"/>
      <c r="H466" s="10"/>
    </row>
    <row r="467" spans="2:8" s="9" customFormat="1" x14ac:dyDescent="0.25">
      <c r="B467" s="10"/>
      <c r="D467" s="10"/>
      <c r="F467" s="10"/>
      <c r="H467" s="10"/>
    </row>
  </sheetData>
  <mergeCells count="4">
    <mergeCell ref="A1:B1"/>
    <mergeCell ref="C1:D1"/>
    <mergeCell ref="E1:F1"/>
    <mergeCell ref="G1: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43"/>
  <sheetViews>
    <sheetView workbookViewId="0">
      <selection activeCell="G38" sqref="G38"/>
    </sheetView>
  </sheetViews>
  <sheetFormatPr defaultRowHeight="15" x14ac:dyDescent="0.25"/>
  <cols>
    <col min="1" max="1" width="19" customWidth="1"/>
    <col min="2" max="2" width="24.85546875" customWidth="1"/>
  </cols>
  <sheetData>
    <row r="1" spans="1:2" x14ac:dyDescent="0.25">
      <c r="A1" s="25" t="s">
        <v>307</v>
      </c>
      <c r="B1" s="50"/>
    </row>
    <row r="2" spans="1:2" x14ac:dyDescent="0.25">
      <c r="A2" s="20" t="s">
        <v>308</v>
      </c>
      <c r="B2" s="18" t="s">
        <v>309</v>
      </c>
    </row>
    <row r="3" spans="1:2" x14ac:dyDescent="0.25">
      <c r="A3" s="20" t="s">
        <v>310</v>
      </c>
      <c r="B3" s="18" t="s">
        <v>311</v>
      </c>
    </row>
    <row r="4" spans="1:2" x14ac:dyDescent="0.25">
      <c r="A4" s="20" t="s">
        <v>312</v>
      </c>
      <c r="B4" s="18" t="s">
        <v>313</v>
      </c>
    </row>
    <row r="5" spans="1:2" x14ac:dyDescent="0.25">
      <c r="A5" s="20" t="s">
        <v>314</v>
      </c>
      <c r="B5" s="18" t="s">
        <v>315</v>
      </c>
    </row>
    <row r="6" spans="1:2" x14ac:dyDescent="0.25">
      <c r="A6" s="25" t="s">
        <v>307</v>
      </c>
      <c r="B6" s="50"/>
    </row>
    <row r="7" spans="1:2" x14ac:dyDescent="0.25">
      <c r="A7" s="20" t="s">
        <v>316</v>
      </c>
      <c r="B7" s="18" t="s">
        <v>317</v>
      </c>
    </row>
    <row r="8" spans="1:2" x14ac:dyDescent="0.25">
      <c r="A8" s="20" t="s">
        <v>308</v>
      </c>
      <c r="B8" s="18" t="s">
        <v>318</v>
      </c>
    </row>
    <row r="9" spans="1:2" x14ac:dyDescent="0.25">
      <c r="A9" s="20" t="s">
        <v>310</v>
      </c>
      <c r="B9" s="18" t="s">
        <v>319</v>
      </c>
    </row>
    <row r="10" spans="1:2" x14ac:dyDescent="0.25">
      <c r="A10" s="20" t="s">
        <v>320</v>
      </c>
      <c r="B10" s="18" t="s">
        <v>321</v>
      </c>
    </row>
    <row r="11" spans="1:2" x14ac:dyDescent="0.25">
      <c r="A11" s="20" t="s">
        <v>312</v>
      </c>
      <c r="B11" s="18" t="s">
        <v>313</v>
      </c>
    </row>
    <row r="12" spans="1:2" x14ac:dyDescent="0.25">
      <c r="A12" s="20" t="s">
        <v>358</v>
      </c>
      <c r="B12" s="18" t="s">
        <v>4</v>
      </c>
    </row>
    <row r="13" spans="1:2" x14ac:dyDescent="0.25">
      <c r="A13" s="20" t="s">
        <v>359</v>
      </c>
      <c r="B13" s="18" t="s">
        <v>177</v>
      </c>
    </row>
    <row r="14" spans="1:2" x14ac:dyDescent="0.25">
      <c r="A14" s="20" t="s">
        <v>322</v>
      </c>
      <c r="B14" s="18"/>
    </row>
    <row r="15" spans="1:2" x14ac:dyDescent="0.25">
      <c r="A15" s="25" t="s">
        <v>307</v>
      </c>
      <c r="B15" s="50"/>
    </row>
    <row r="16" spans="1:2" x14ac:dyDescent="0.25">
      <c r="A16" s="20" t="s">
        <v>316</v>
      </c>
      <c r="B16" s="18" t="s">
        <v>323</v>
      </c>
    </row>
    <row r="17" spans="1:2" x14ac:dyDescent="0.25">
      <c r="A17" s="20" t="s">
        <v>308</v>
      </c>
      <c r="B17" s="18" t="s">
        <v>318</v>
      </c>
    </row>
    <row r="18" spans="1:2" x14ac:dyDescent="0.25">
      <c r="A18" s="20" t="s">
        <v>310</v>
      </c>
      <c r="B18" s="18" t="s">
        <v>324</v>
      </c>
    </row>
    <row r="19" spans="1:2" x14ac:dyDescent="0.25">
      <c r="A19" s="20" t="s">
        <v>320</v>
      </c>
      <c r="B19" s="18" t="s">
        <v>325</v>
      </c>
    </row>
    <row r="20" spans="1:2" x14ac:dyDescent="0.25">
      <c r="A20" s="20" t="s">
        <v>326</v>
      </c>
      <c r="B20" s="18" t="s">
        <v>327</v>
      </c>
    </row>
    <row r="21" spans="1:2" x14ac:dyDescent="0.25">
      <c r="A21" s="20" t="s">
        <v>358</v>
      </c>
      <c r="B21" s="18" t="s">
        <v>4</v>
      </c>
    </row>
    <row r="22" spans="1:2" x14ac:dyDescent="0.25">
      <c r="A22" s="20" t="s">
        <v>359</v>
      </c>
      <c r="B22" s="18" t="s">
        <v>177</v>
      </c>
    </row>
    <row r="23" spans="1:2" x14ac:dyDescent="0.25">
      <c r="A23" s="20" t="s">
        <v>312</v>
      </c>
      <c r="B23" s="18" t="s">
        <v>313</v>
      </c>
    </row>
    <row r="24" spans="1:2" x14ac:dyDescent="0.25">
      <c r="A24" s="25" t="s">
        <v>307</v>
      </c>
      <c r="B24" s="50"/>
    </row>
    <row r="25" spans="1:2" x14ac:dyDescent="0.25">
      <c r="A25" s="51" t="s">
        <v>316</v>
      </c>
      <c r="B25" s="18" t="s">
        <v>328</v>
      </c>
    </row>
    <row r="26" spans="1:2" x14ac:dyDescent="0.25">
      <c r="A26" s="20" t="s">
        <v>308</v>
      </c>
      <c r="B26" s="18" t="s">
        <v>318</v>
      </c>
    </row>
    <row r="27" spans="1:2" x14ac:dyDescent="0.25">
      <c r="A27" s="20" t="s">
        <v>310</v>
      </c>
      <c r="B27" s="18" t="s">
        <v>329</v>
      </c>
    </row>
    <row r="28" spans="1:2" x14ac:dyDescent="0.25">
      <c r="A28" s="20" t="s">
        <v>320</v>
      </c>
      <c r="B28" s="18" t="s">
        <v>330</v>
      </c>
    </row>
    <row r="29" spans="1:2" x14ac:dyDescent="0.25">
      <c r="A29" s="20" t="s">
        <v>326</v>
      </c>
      <c r="B29" s="18" t="s">
        <v>327</v>
      </c>
    </row>
    <row r="30" spans="1:2" x14ac:dyDescent="0.25">
      <c r="A30" s="20" t="s">
        <v>312</v>
      </c>
      <c r="B30" s="18" t="s">
        <v>313</v>
      </c>
    </row>
    <row r="31" spans="1:2" x14ac:dyDescent="0.25">
      <c r="A31" s="20" t="s">
        <v>322</v>
      </c>
      <c r="B31" s="18"/>
    </row>
    <row r="32" spans="1:2" x14ac:dyDescent="0.25">
      <c r="A32" s="20" t="s">
        <v>331</v>
      </c>
      <c r="B32" s="18"/>
    </row>
    <row r="33" spans="1:2" x14ac:dyDescent="0.25">
      <c r="A33" s="20" t="s">
        <v>332</v>
      </c>
      <c r="B33" s="18" t="s">
        <v>333</v>
      </c>
    </row>
    <row r="34" spans="1:2" x14ac:dyDescent="0.25">
      <c r="A34" s="20" t="s">
        <v>334</v>
      </c>
      <c r="B34" s="18" t="s">
        <v>335</v>
      </c>
    </row>
    <row r="35" spans="1:2" x14ac:dyDescent="0.25">
      <c r="A35" s="20" t="s">
        <v>336</v>
      </c>
      <c r="B35" s="18" t="s">
        <v>337</v>
      </c>
    </row>
    <row r="36" spans="1:2" x14ac:dyDescent="0.25">
      <c r="A36" s="20" t="s">
        <v>338</v>
      </c>
      <c r="B36" s="18" t="s">
        <v>339</v>
      </c>
    </row>
    <row r="37" spans="1:2" x14ac:dyDescent="0.25">
      <c r="A37" s="20" t="s">
        <v>340</v>
      </c>
      <c r="B37" s="18" t="s">
        <v>341</v>
      </c>
    </row>
    <row r="38" spans="1:2" x14ac:dyDescent="0.25">
      <c r="A38" s="25" t="s">
        <v>307</v>
      </c>
      <c r="B38" s="50"/>
    </row>
    <row r="39" spans="1:2" x14ac:dyDescent="0.25">
      <c r="A39" s="20" t="s">
        <v>308</v>
      </c>
      <c r="B39" s="18" t="s">
        <v>342</v>
      </c>
    </row>
    <row r="40" spans="1:2" x14ac:dyDescent="0.25">
      <c r="A40" s="20" t="s">
        <v>310</v>
      </c>
      <c r="B40" s="18" t="s">
        <v>343</v>
      </c>
    </row>
    <row r="41" spans="1:2" x14ac:dyDescent="0.25">
      <c r="A41" s="25" t="s">
        <v>307</v>
      </c>
      <c r="B41" s="50"/>
    </row>
    <row r="42" spans="1:2" x14ac:dyDescent="0.25">
      <c r="A42" s="20" t="s">
        <v>308</v>
      </c>
      <c r="B42" s="18" t="s">
        <v>342</v>
      </c>
    </row>
    <row r="43" spans="1:2" x14ac:dyDescent="0.25">
      <c r="A43" s="20" t="s">
        <v>310</v>
      </c>
      <c r="B43" s="18" t="s">
        <v>344</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T38"/>
  <sheetViews>
    <sheetView workbookViewId="0">
      <selection activeCell="B2" sqref="B2:C16"/>
    </sheetView>
  </sheetViews>
  <sheetFormatPr defaultRowHeight="15" x14ac:dyDescent="0.25"/>
  <cols>
    <col min="1" max="1" width="15.28515625" bestFit="1" customWidth="1"/>
    <col min="2" max="2" width="34.7109375" bestFit="1" customWidth="1"/>
    <col min="3" max="3" width="12" bestFit="1" customWidth="1"/>
    <col min="5" max="5" width="15.28515625" bestFit="1" customWidth="1"/>
    <col min="6" max="6" width="34.7109375" bestFit="1" customWidth="1"/>
    <col min="7" max="7" width="12" bestFit="1" customWidth="1"/>
    <col min="9" max="9" width="15.28515625" bestFit="1" customWidth="1"/>
    <col min="10" max="10" width="34.7109375" bestFit="1" customWidth="1"/>
    <col min="11" max="11" width="12" bestFit="1" customWidth="1"/>
  </cols>
  <sheetData>
    <row r="1" spans="1:15" x14ac:dyDescent="0.25">
      <c r="A1" s="52" t="s">
        <v>135</v>
      </c>
      <c r="B1" s="52" t="s">
        <v>136</v>
      </c>
      <c r="C1" s="52"/>
      <c r="D1" s="16"/>
      <c r="E1" s="52" t="s">
        <v>135</v>
      </c>
      <c r="F1" s="52" t="s">
        <v>136</v>
      </c>
      <c r="G1" s="52"/>
      <c r="H1" s="16"/>
      <c r="I1" s="53" t="s">
        <v>135</v>
      </c>
      <c r="J1" s="54" t="s">
        <v>136</v>
      </c>
      <c r="K1" s="55"/>
      <c r="L1" s="16"/>
      <c r="M1" s="16"/>
      <c r="N1" s="16"/>
      <c r="O1" s="16"/>
    </row>
    <row r="2" spans="1:15" x14ac:dyDescent="0.25">
      <c r="A2" s="20" t="s">
        <v>137</v>
      </c>
      <c r="B2" s="19" t="s">
        <v>437</v>
      </c>
      <c r="C2" s="18"/>
      <c r="D2" s="16"/>
      <c r="E2" s="20" t="s">
        <v>137</v>
      </c>
      <c r="F2" s="19" t="s">
        <v>439</v>
      </c>
      <c r="G2" s="18"/>
      <c r="H2" s="16"/>
      <c r="I2" s="20" t="s">
        <v>137</v>
      </c>
      <c r="J2" s="19" t="s">
        <v>440</v>
      </c>
      <c r="K2" s="18"/>
      <c r="L2" s="16"/>
      <c r="M2" s="16"/>
      <c r="N2" s="16"/>
      <c r="O2" s="16"/>
    </row>
    <row r="3" spans="1:15" x14ac:dyDescent="0.25">
      <c r="A3" s="20" t="s">
        <v>138</v>
      </c>
      <c r="B3" s="19">
        <v>121</v>
      </c>
      <c r="C3" s="18"/>
      <c r="D3" s="16"/>
      <c r="E3" s="20" t="s">
        <v>138</v>
      </c>
      <c r="F3" s="19">
        <v>122</v>
      </c>
      <c r="G3" s="18"/>
      <c r="H3" s="16"/>
      <c r="I3" s="20" t="s">
        <v>138</v>
      </c>
      <c r="J3" s="19">
        <v>123</v>
      </c>
      <c r="K3" s="18"/>
      <c r="L3" s="16"/>
      <c r="M3" s="16"/>
      <c r="N3" s="16"/>
      <c r="O3" s="16"/>
    </row>
    <row r="4" spans="1:15" x14ac:dyDescent="0.25">
      <c r="A4" s="20" t="s">
        <v>139</v>
      </c>
      <c r="B4" s="19">
        <v>4096</v>
      </c>
      <c r="C4" s="18"/>
      <c r="D4" s="16"/>
      <c r="E4" s="20" t="s">
        <v>139</v>
      </c>
      <c r="F4" s="19">
        <v>4096</v>
      </c>
      <c r="G4" s="18"/>
      <c r="H4" s="16"/>
      <c r="I4" s="20" t="s">
        <v>139</v>
      </c>
      <c r="J4" s="19">
        <v>4096</v>
      </c>
      <c r="K4" s="18"/>
      <c r="L4" s="16"/>
      <c r="M4" s="16"/>
      <c r="N4" s="16"/>
      <c r="O4" s="16"/>
    </row>
    <row r="5" spans="1:15" x14ac:dyDescent="0.25">
      <c r="A5" s="20" t="s">
        <v>140</v>
      </c>
      <c r="B5" s="19">
        <v>30</v>
      </c>
      <c r="C5" s="18"/>
      <c r="D5" s="16"/>
      <c r="E5" s="20" t="s">
        <v>140</v>
      </c>
      <c r="F5" s="19">
        <v>30</v>
      </c>
      <c r="G5" s="18"/>
      <c r="H5" s="16"/>
      <c r="I5" s="20" t="s">
        <v>140</v>
      </c>
      <c r="J5" s="19">
        <v>30</v>
      </c>
      <c r="K5" s="18"/>
      <c r="L5" s="16"/>
      <c r="M5" s="16"/>
      <c r="N5" s="16"/>
      <c r="O5" s="16"/>
    </row>
    <row r="6" spans="1:15" x14ac:dyDescent="0.25">
      <c r="A6" s="20" t="s">
        <v>438</v>
      </c>
      <c r="B6" s="19">
        <v>100</v>
      </c>
      <c r="C6" s="18"/>
      <c r="D6" s="16"/>
      <c r="E6" s="20" t="s">
        <v>438</v>
      </c>
      <c r="F6" s="19">
        <v>100</v>
      </c>
      <c r="G6" s="18"/>
      <c r="H6" s="16"/>
      <c r="I6" s="20" t="s">
        <v>438</v>
      </c>
      <c r="J6" s="19">
        <v>100</v>
      </c>
      <c r="K6" s="18"/>
      <c r="L6" s="16"/>
      <c r="M6" s="16"/>
      <c r="N6" s="16"/>
      <c r="O6" s="16"/>
    </row>
    <row r="7" spans="1:15" x14ac:dyDescent="0.25">
      <c r="A7" s="20" t="s">
        <v>141</v>
      </c>
      <c r="B7" s="19">
        <v>2</v>
      </c>
      <c r="C7" s="18"/>
      <c r="D7" s="16"/>
      <c r="E7" s="20" t="s">
        <v>141</v>
      </c>
      <c r="F7" s="19">
        <v>2</v>
      </c>
      <c r="G7" s="18"/>
      <c r="H7" s="16"/>
      <c r="I7" s="20" t="s">
        <v>141</v>
      </c>
      <c r="J7" s="19">
        <v>2</v>
      </c>
      <c r="K7" s="18"/>
      <c r="L7" s="16"/>
      <c r="M7" s="16"/>
      <c r="N7" s="16"/>
      <c r="O7" s="16"/>
    </row>
    <row r="8" spans="1:15" x14ac:dyDescent="0.25">
      <c r="A8" s="20" t="s">
        <v>142</v>
      </c>
      <c r="B8" s="19">
        <v>8</v>
      </c>
      <c r="C8" s="18"/>
      <c r="D8" s="16"/>
      <c r="E8" s="20" t="s">
        <v>142</v>
      </c>
      <c r="F8" s="19">
        <v>8</v>
      </c>
      <c r="G8" s="18"/>
      <c r="H8" s="16"/>
      <c r="I8" s="20" t="s">
        <v>142</v>
      </c>
      <c r="J8" s="19">
        <v>8</v>
      </c>
      <c r="K8" s="18"/>
      <c r="L8" s="16"/>
      <c r="M8" s="16"/>
      <c r="N8" s="16"/>
      <c r="O8" s="16"/>
    </row>
    <row r="9" spans="1:15" x14ac:dyDescent="0.25">
      <c r="A9" s="20" t="s">
        <v>143</v>
      </c>
      <c r="B9" s="19">
        <v>1</v>
      </c>
      <c r="C9" s="18"/>
      <c r="D9" s="16"/>
      <c r="E9" s="20" t="s">
        <v>143</v>
      </c>
      <c r="F9" s="19">
        <v>1</v>
      </c>
      <c r="G9" s="18"/>
      <c r="H9" s="16"/>
      <c r="I9" s="20" t="s">
        <v>143</v>
      </c>
      <c r="J9" s="19">
        <v>1</v>
      </c>
      <c r="K9" s="18"/>
      <c r="L9" s="16"/>
      <c r="M9" s="16"/>
      <c r="N9" s="16"/>
      <c r="O9" s="16"/>
    </row>
    <row r="10" spans="1:15" x14ac:dyDescent="0.25">
      <c r="A10" s="20" t="s">
        <v>144</v>
      </c>
      <c r="B10" s="19" t="s">
        <v>41</v>
      </c>
      <c r="C10" s="18"/>
      <c r="D10" s="16"/>
      <c r="E10" s="20" t="s">
        <v>144</v>
      </c>
      <c r="F10" s="19" t="s">
        <v>41</v>
      </c>
      <c r="G10" s="18"/>
      <c r="H10" s="16"/>
      <c r="I10" s="20" t="s">
        <v>144</v>
      </c>
      <c r="J10" s="19" t="s">
        <v>41</v>
      </c>
      <c r="K10" s="18"/>
      <c r="L10" s="16"/>
      <c r="M10" s="16"/>
      <c r="N10" s="16"/>
      <c r="O10" s="16"/>
    </row>
    <row r="11" spans="1:15" x14ac:dyDescent="0.25">
      <c r="A11" s="20" t="s">
        <v>441</v>
      </c>
      <c r="B11" s="19"/>
      <c r="C11" s="18"/>
      <c r="D11" s="16"/>
      <c r="E11" s="20" t="s">
        <v>441</v>
      </c>
      <c r="F11" s="19"/>
      <c r="G11" s="18"/>
      <c r="H11" s="16"/>
      <c r="I11" s="20" t="s">
        <v>441</v>
      </c>
      <c r="J11" s="19"/>
      <c r="K11" s="18"/>
      <c r="L11" s="16"/>
      <c r="M11" s="16"/>
      <c r="N11" s="16"/>
      <c r="O11" s="16"/>
    </row>
    <row r="12" spans="1:15" x14ac:dyDescent="0.25">
      <c r="A12" s="20" t="s">
        <v>145</v>
      </c>
      <c r="B12" s="19"/>
      <c r="C12" s="18"/>
      <c r="D12" s="16"/>
      <c r="E12" s="20" t="s">
        <v>145</v>
      </c>
      <c r="F12" s="19"/>
      <c r="G12" s="18"/>
      <c r="H12" s="16"/>
      <c r="I12" s="20" t="s">
        <v>145</v>
      </c>
      <c r="J12" s="19"/>
      <c r="K12" s="18"/>
      <c r="L12" s="16"/>
      <c r="M12" s="16"/>
      <c r="N12" s="16"/>
      <c r="O12" s="16"/>
    </row>
    <row r="13" spans="1:15" x14ac:dyDescent="0.25">
      <c r="A13" s="20" t="s">
        <v>146</v>
      </c>
      <c r="B13" s="19"/>
      <c r="C13" s="18"/>
      <c r="D13" s="16"/>
      <c r="E13" s="20" t="s">
        <v>146</v>
      </c>
      <c r="F13" s="19"/>
      <c r="G13" s="18"/>
      <c r="H13" s="16"/>
      <c r="I13" s="20" t="s">
        <v>146</v>
      </c>
      <c r="J13" s="19"/>
      <c r="K13" s="18"/>
      <c r="L13" s="16"/>
      <c r="M13" s="16"/>
      <c r="N13" s="16"/>
      <c r="O13" s="16"/>
    </row>
    <row r="14" spans="1:15" x14ac:dyDescent="0.25">
      <c r="A14" s="20"/>
      <c r="B14" s="19" t="s">
        <v>147</v>
      </c>
      <c r="C14" s="18" t="s">
        <v>148</v>
      </c>
      <c r="D14" s="16"/>
      <c r="E14" s="20"/>
      <c r="F14" s="19" t="s">
        <v>147</v>
      </c>
      <c r="G14" s="18" t="s">
        <v>148</v>
      </c>
      <c r="H14" s="16"/>
      <c r="I14" s="20"/>
      <c r="J14" s="19" t="s">
        <v>147</v>
      </c>
      <c r="K14" s="18" t="s">
        <v>148</v>
      </c>
      <c r="L14" s="16"/>
      <c r="M14" s="16"/>
      <c r="N14" s="16"/>
      <c r="O14" s="16"/>
    </row>
    <row r="15" spans="1:15" x14ac:dyDescent="0.25">
      <c r="A15" s="20"/>
      <c r="B15" s="19" t="s">
        <v>149</v>
      </c>
      <c r="C15" s="18" t="s">
        <v>150</v>
      </c>
      <c r="D15" s="16"/>
      <c r="E15" s="20"/>
      <c r="F15" s="19" t="s">
        <v>149</v>
      </c>
      <c r="G15" s="18" t="s">
        <v>150</v>
      </c>
      <c r="H15" s="16"/>
      <c r="I15" s="20"/>
      <c r="J15" s="19" t="s">
        <v>149</v>
      </c>
      <c r="K15" s="18" t="s">
        <v>150</v>
      </c>
      <c r="L15" s="16"/>
      <c r="M15" s="16"/>
      <c r="N15" s="16"/>
      <c r="O15" s="16"/>
    </row>
    <row r="16" spans="1:15" x14ac:dyDescent="0.25">
      <c r="A16" s="20"/>
      <c r="B16" s="19" t="s">
        <v>151</v>
      </c>
      <c r="C16" s="18">
        <v>2</v>
      </c>
      <c r="D16" s="16"/>
      <c r="E16" s="20"/>
      <c r="F16" s="19" t="s">
        <v>151</v>
      </c>
      <c r="G16" s="18">
        <v>2</v>
      </c>
      <c r="H16" s="16"/>
      <c r="I16" s="20"/>
      <c r="J16" s="19" t="s">
        <v>151</v>
      </c>
      <c r="K16" s="18">
        <v>2</v>
      </c>
      <c r="L16" s="16"/>
      <c r="M16" s="16"/>
      <c r="N16" s="16"/>
      <c r="O16" s="16"/>
    </row>
    <row r="17" spans="1:20" x14ac:dyDescent="0.25">
      <c r="A17" s="20"/>
      <c r="B17" s="19" t="s">
        <v>152</v>
      </c>
      <c r="C17" s="18">
        <v>2</v>
      </c>
      <c r="D17" s="16"/>
      <c r="E17" s="20"/>
      <c r="F17" s="19" t="s">
        <v>152</v>
      </c>
      <c r="G17" s="18">
        <v>2</v>
      </c>
      <c r="H17" s="16"/>
      <c r="I17" s="20"/>
      <c r="J17" s="19" t="s">
        <v>152</v>
      </c>
      <c r="K17" s="18">
        <v>2</v>
      </c>
      <c r="L17" s="16"/>
      <c r="M17" s="16"/>
      <c r="N17" s="16"/>
      <c r="O17" s="16"/>
    </row>
    <row r="18" spans="1:20" x14ac:dyDescent="0.25">
      <c r="A18" s="16"/>
      <c r="B18" s="16"/>
      <c r="C18" s="16"/>
      <c r="D18" s="16"/>
      <c r="E18" s="16"/>
      <c r="F18" s="16"/>
      <c r="G18" s="16"/>
      <c r="H18" s="16"/>
      <c r="I18" s="16"/>
      <c r="J18" s="16"/>
      <c r="K18" s="16"/>
      <c r="L18" s="16"/>
      <c r="M18" s="16"/>
      <c r="N18" s="16"/>
      <c r="O18" s="16"/>
    </row>
    <row r="19" spans="1:20" x14ac:dyDescent="0.25">
      <c r="A19" s="16"/>
      <c r="B19" s="16"/>
      <c r="C19" s="16"/>
      <c r="D19" s="16"/>
      <c r="E19" s="16"/>
      <c r="F19" s="16"/>
      <c r="G19" s="16"/>
      <c r="H19" s="16"/>
      <c r="I19" s="16"/>
      <c r="J19" s="16"/>
      <c r="K19" s="16"/>
      <c r="L19" s="16"/>
      <c r="M19" s="16"/>
      <c r="N19" s="16"/>
      <c r="O19" s="16"/>
      <c r="P19" s="16"/>
      <c r="Q19" s="16"/>
      <c r="R19" s="16"/>
      <c r="S19" s="16"/>
      <c r="T19" s="16"/>
    </row>
    <row r="20" spans="1:20" x14ac:dyDescent="0.25">
      <c r="A20" s="16"/>
      <c r="B20" s="16"/>
      <c r="C20" s="16"/>
      <c r="D20" s="16"/>
      <c r="E20" s="16"/>
      <c r="F20" s="16"/>
      <c r="G20" s="16"/>
      <c r="H20" s="16"/>
      <c r="I20" s="16"/>
      <c r="J20" s="16"/>
      <c r="K20" s="16"/>
      <c r="L20" s="16"/>
      <c r="M20" s="16"/>
      <c r="N20" s="16"/>
      <c r="O20" s="16"/>
      <c r="P20" s="16"/>
      <c r="Q20" s="16"/>
      <c r="R20" s="16"/>
      <c r="S20" s="16"/>
      <c r="T20" s="16"/>
    </row>
    <row r="21" spans="1:20" x14ac:dyDescent="0.25">
      <c r="A21" s="16"/>
      <c r="B21" s="16"/>
      <c r="C21" s="16"/>
      <c r="D21" s="16"/>
      <c r="E21" s="16"/>
      <c r="F21" s="16"/>
      <c r="G21" s="16"/>
      <c r="H21" s="16"/>
      <c r="I21" s="16"/>
      <c r="J21" s="16"/>
      <c r="K21" s="16"/>
      <c r="L21" s="16"/>
      <c r="M21" s="16"/>
      <c r="N21" s="16"/>
      <c r="O21" s="16"/>
      <c r="P21" s="16"/>
      <c r="Q21" s="16"/>
      <c r="R21" s="16"/>
      <c r="S21" s="16"/>
      <c r="T21" s="16"/>
    </row>
    <row r="22" spans="1:20" x14ac:dyDescent="0.25">
      <c r="A22" s="16"/>
      <c r="B22" s="16"/>
      <c r="C22" s="16"/>
      <c r="D22" s="16"/>
      <c r="E22" s="16"/>
      <c r="F22" s="16"/>
      <c r="G22" s="16"/>
      <c r="H22" s="16"/>
      <c r="I22" s="16"/>
      <c r="J22" s="16"/>
      <c r="K22" s="16"/>
      <c r="L22" s="16"/>
      <c r="M22" s="16"/>
      <c r="N22" s="16"/>
      <c r="O22" s="16"/>
      <c r="P22" s="16"/>
      <c r="Q22" s="16"/>
      <c r="R22" s="16"/>
      <c r="S22" s="16"/>
      <c r="T22" s="16"/>
    </row>
    <row r="23" spans="1:20" x14ac:dyDescent="0.25">
      <c r="A23" s="16"/>
      <c r="B23" s="16"/>
      <c r="C23" s="16"/>
      <c r="D23" s="16"/>
      <c r="E23" s="16"/>
      <c r="F23" s="16"/>
      <c r="G23" s="16"/>
      <c r="H23" s="16"/>
      <c r="I23" s="16"/>
      <c r="J23" s="16"/>
      <c r="K23" s="16"/>
      <c r="L23" s="16"/>
      <c r="M23" s="16"/>
      <c r="N23" s="16"/>
      <c r="O23" s="16"/>
      <c r="P23" s="16"/>
      <c r="Q23" s="16"/>
      <c r="R23" s="16"/>
      <c r="S23" s="16"/>
      <c r="T23" s="16"/>
    </row>
    <row r="24" spans="1:20" x14ac:dyDescent="0.25">
      <c r="A24" s="16"/>
      <c r="B24" s="16"/>
      <c r="C24" s="16"/>
      <c r="D24" s="16"/>
      <c r="E24" s="16"/>
      <c r="F24" s="16"/>
      <c r="G24" s="16"/>
      <c r="H24" s="16"/>
      <c r="I24" s="16"/>
      <c r="J24" s="16"/>
      <c r="K24" s="16"/>
      <c r="L24" s="16"/>
      <c r="M24" s="16"/>
      <c r="N24" s="16"/>
      <c r="O24" s="16"/>
      <c r="P24" s="16"/>
      <c r="Q24" s="16"/>
      <c r="R24" s="16"/>
      <c r="S24" s="16"/>
      <c r="T24" s="16"/>
    </row>
    <row r="25" spans="1:20" x14ac:dyDescent="0.25">
      <c r="A25" s="16"/>
      <c r="B25" s="16"/>
      <c r="C25" s="16"/>
      <c r="D25" s="16"/>
      <c r="E25" s="16"/>
      <c r="F25" s="16"/>
      <c r="G25" s="16"/>
      <c r="H25" s="16"/>
      <c r="I25" s="16"/>
      <c r="J25" s="16"/>
      <c r="K25" s="16"/>
      <c r="L25" s="16"/>
      <c r="M25" s="16"/>
      <c r="N25" s="16"/>
      <c r="O25" s="16"/>
      <c r="P25" s="16"/>
      <c r="Q25" s="16"/>
      <c r="R25" s="16"/>
      <c r="S25" s="16"/>
      <c r="T25" s="16"/>
    </row>
    <row r="26" spans="1:20" x14ac:dyDescent="0.25">
      <c r="A26" s="16"/>
      <c r="B26" s="16"/>
      <c r="C26" s="16"/>
      <c r="D26" s="16"/>
      <c r="E26" s="16"/>
      <c r="F26" s="16"/>
      <c r="G26" s="16"/>
      <c r="H26" s="16"/>
      <c r="I26" s="16"/>
      <c r="J26" s="16"/>
      <c r="K26" s="16"/>
      <c r="L26" s="16"/>
      <c r="M26" s="16"/>
      <c r="N26" s="16"/>
      <c r="O26" s="16"/>
      <c r="P26" s="16"/>
      <c r="Q26" s="16"/>
      <c r="R26" s="16"/>
      <c r="S26" s="16"/>
      <c r="T26" s="16"/>
    </row>
    <row r="27" spans="1:20" x14ac:dyDescent="0.25">
      <c r="A27" s="16"/>
      <c r="B27" s="16"/>
      <c r="C27" s="16"/>
      <c r="D27" s="16"/>
      <c r="E27" s="16"/>
      <c r="F27" s="16"/>
      <c r="G27" s="16"/>
      <c r="H27" s="16"/>
      <c r="I27" s="16"/>
      <c r="J27" s="16"/>
      <c r="K27" s="16"/>
      <c r="L27" s="16"/>
      <c r="M27" s="16"/>
      <c r="N27" s="16"/>
      <c r="O27" s="16"/>
      <c r="P27" s="16"/>
      <c r="Q27" s="16"/>
      <c r="R27" s="16"/>
      <c r="S27" s="16"/>
      <c r="T27" s="16"/>
    </row>
    <row r="28" spans="1:20" x14ac:dyDescent="0.25">
      <c r="A28" s="16"/>
      <c r="B28" s="16"/>
      <c r="C28" s="16"/>
      <c r="D28" s="16"/>
      <c r="E28" s="16"/>
      <c r="F28" s="16"/>
      <c r="G28" s="16"/>
      <c r="H28" s="16"/>
      <c r="I28" s="16"/>
      <c r="J28" s="16"/>
      <c r="K28" s="16"/>
      <c r="L28" s="16"/>
      <c r="M28" s="16"/>
      <c r="N28" s="16"/>
      <c r="O28" s="16"/>
      <c r="P28" s="16"/>
      <c r="Q28" s="16"/>
      <c r="R28" s="16"/>
      <c r="S28" s="16"/>
      <c r="T28" s="16"/>
    </row>
    <row r="29" spans="1:20" x14ac:dyDescent="0.25">
      <c r="A29" s="16"/>
      <c r="B29" s="16"/>
      <c r="C29" s="16"/>
      <c r="D29" s="16"/>
      <c r="E29" s="16"/>
      <c r="F29" s="16"/>
      <c r="G29" s="16"/>
      <c r="H29" s="16"/>
      <c r="I29" s="16"/>
      <c r="J29" s="16"/>
      <c r="K29" s="16"/>
      <c r="L29" s="16"/>
      <c r="M29" s="16"/>
      <c r="N29" s="16"/>
      <c r="O29" s="16"/>
      <c r="P29" s="16"/>
      <c r="Q29" s="16"/>
      <c r="R29" s="16"/>
      <c r="S29" s="16"/>
      <c r="T29" s="16"/>
    </row>
    <row r="30" spans="1:20" x14ac:dyDescent="0.25">
      <c r="A30" s="16"/>
      <c r="B30" s="16"/>
      <c r="C30" s="16"/>
      <c r="D30" s="16"/>
      <c r="E30" s="16"/>
      <c r="F30" s="16"/>
      <c r="G30" s="16"/>
      <c r="H30" s="16"/>
      <c r="I30" s="16"/>
      <c r="J30" s="16"/>
      <c r="K30" s="16"/>
      <c r="L30" s="16"/>
      <c r="M30" s="16"/>
      <c r="N30" s="16"/>
      <c r="O30" s="16"/>
      <c r="P30" s="16"/>
      <c r="Q30" s="16"/>
      <c r="R30" s="16"/>
      <c r="S30" s="16"/>
      <c r="T30" s="16"/>
    </row>
    <row r="31" spans="1:20" x14ac:dyDescent="0.25">
      <c r="A31" s="16"/>
      <c r="B31" s="16"/>
      <c r="C31" s="16"/>
      <c r="D31" s="16"/>
      <c r="E31" s="16"/>
      <c r="F31" s="16"/>
      <c r="G31" s="16"/>
      <c r="H31" s="16"/>
      <c r="I31" s="16"/>
      <c r="J31" s="16"/>
      <c r="K31" s="16"/>
      <c r="L31" s="16"/>
      <c r="M31" s="16"/>
      <c r="N31" s="16"/>
      <c r="O31" s="16"/>
      <c r="P31" s="16"/>
      <c r="Q31" s="16"/>
      <c r="R31" s="16"/>
      <c r="S31" s="16"/>
      <c r="T31" s="16"/>
    </row>
    <row r="32" spans="1:20" x14ac:dyDescent="0.25">
      <c r="A32" s="16"/>
      <c r="B32" s="16"/>
      <c r="C32" s="16"/>
      <c r="D32" s="16"/>
      <c r="E32" s="16"/>
      <c r="F32" s="16"/>
      <c r="G32" s="16"/>
      <c r="H32" s="16"/>
      <c r="I32" s="16"/>
      <c r="J32" s="16"/>
      <c r="K32" s="16"/>
      <c r="L32" s="16"/>
      <c r="M32" s="16"/>
      <c r="N32" s="16"/>
      <c r="O32" s="16"/>
      <c r="P32" s="16"/>
      <c r="Q32" s="16"/>
      <c r="R32" s="16"/>
      <c r="S32" s="16"/>
      <c r="T32" s="16"/>
    </row>
    <row r="33" spans="1:20" x14ac:dyDescent="0.25">
      <c r="A33" s="16"/>
      <c r="B33" s="16"/>
      <c r="C33" s="16"/>
      <c r="D33" s="16"/>
      <c r="E33" s="16"/>
      <c r="F33" s="16"/>
      <c r="G33" s="16"/>
      <c r="H33" s="16"/>
      <c r="I33" s="16"/>
      <c r="J33" s="16"/>
      <c r="K33" s="16"/>
      <c r="L33" s="16"/>
      <c r="M33" s="16"/>
      <c r="N33" s="16"/>
      <c r="O33" s="16"/>
      <c r="P33" s="16"/>
      <c r="Q33" s="16"/>
      <c r="R33" s="16"/>
      <c r="S33" s="16"/>
      <c r="T33" s="16"/>
    </row>
    <row r="34" spans="1:20" x14ac:dyDescent="0.25">
      <c r="A34" s="16"/>
      <c r="B34" s="16"/>
      <c r="C34" s="16"/>
      <c r="D34" s="16"/>
      <c r="E34" s="16"/>
      <c r="F34" s="16"/>
      <c r="G34" s="16"/>
      <c r="H34" s="16"/>
      <c r="I34" s="16"/>
      <c r="J34" s="16"/>
      <c r="K34" s="16"/>
      <c r="L34" s="16"/>
      <c r="M34" s="16"/>
      <c r="N34" s="16"/>
      <c r="O34" s="16"/>
      <c r="P34" s="16"/>
      <c r="Q34" s="16"/>
      <c r="R34" s="16"/>
      <c r="S34" s="16"/>
      <c r="T34" s="16"/>
    </row>
    <row r="35" spans="1:20" x14ac:dyDescent="0.25">
      <c r="A35" s="16"/>
      <c r="B35" s="16"/>
      <c r="C35" s="16"/>
      <c r="D35" s="16"/>
      <c r="E35" s="16"/>
      <c r="F35" s="16"/>
      <c r="G35" s="16"/>
      <c r="H35" s="16"/>
      <c r="I35" s="16"/>
      <c r="J35" s="16"/>
      <c r="K35" s="16"/>
      <c r="L35" s="16"/>
      <c r="M35" s="16"/>
      <c r="N35" s="16"/>
      <c r="O35" s="16"/>
      <c r="P35" s="16"/>
      <c r="Q35" s="16"/>
      <c r="R35" s="16"/>
      <c r="S35" s="16"/>
      <c r="T35" s="16"/>
    </row>
    <row r="36" spans="1:20" x14ac:dyDescent="0.25">
      <c r="A36" s="16"/>
      <c r="B36" s="16"/>
      <c r="C36" s="16"/>
      <c r="D36" s="16"/>
      <c r="E36" s="16"/>
      <c r="F36" s="16"/>
      <c r="G36" s="16"/>
      <c r="H36" s="16"/>
      <c r="I36" s="16"/>
      <c r="J36" s="16"/>
      <c r="K36" s="16"/>
      <c r="L36" s="16"/>
      <c r="M36" s="16"/>
      <c r="N36" s="16"/>
      <c r="O36" s="16"/>
      <c r="P36" s="16"/>
      <c r="Q36" s="16"/>
      <c r="R36" s="16"/>
      <c r="S36" s="16"/>
      <c r="T36" s="16"/>
    </row>
    <row r="37" spans="1:20" x14ac:dyDescent="0.25">
      <c r="A37" s="16"/>
      <c r="B37" s="16"/>
      <c r="C37" s="16"/>
      <c r="D37" s="16"/>
      <c r="E37" s="16"/>
      <c r="F37" s="16"/>
      <c r="G37" s="16"/>
      <c r="H37" s="16"/>
      <c r="I37" s="16"/>
      <c r="J37" s="16"/>
      <c r="K37" s="16"/>
      <c r="L37" s="16"/>
      <c r="M37" s="16"/>
      <c r="N37" s="16"/>
      <c r="O37" s="16"/>
      <c r="P37" s="16"/>
      <c r="Q37" s="16"/>
      <c r="R37" s="16"/>
      <c r="S37" s="16"/>
      <c r="T37" s="16"/>
    </row>
    <row r="38" spans="1:20" x14ac:dyDescent="0.25">
      <c r="A38" s="1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11"/>
  <sheetViews>
    <sheetView zoomScaleNormal="100" workbookViewId="0">
      <selection activeCell="A2" sqref="A2"/>
    </sheetView>
  </sheetViews>
  <sheetFormatPr defaultRowHeight="15" x14ac:dyDescent="0.25"/>
  <cols>
    <col min="1" max="2" width="13.140625" bestFit="1" customWidth="1"/>
    <col min="3" max="3" width="11" bestFit="1" customWidth="1"/>
    <col min="4" max="4" width="14.140625" bestFit="1" customWidth="1"/>
    <col min="5" max="6" width="8" bestFit="1" customWidth="1"/>
    <col min="7" max="7" width="17.42578125" bestFit="1" customWidth="1"/>
    <col min="8" max="8" width="14.28515625" customWidth="1"/>
  </cols>
  <sheetData>
    <row r="1" spans="1:8" x14ac:dyDescent="0.25">
      <c r="A1" s="56" t="s">
        <v>167</v>
      </c>
      <c r="B1" s="56" t="s">
        <v>153</v>
      </c>
      <c r="C1" s="56" t="s">
        <v>154</v>
      </c>
      <c r="D1" s="56" t="s">
        <v>155</v>
      </c>
      <c r="E1" s="56" t="s">
        <v>156</v>
      </c>
      <c r="F1" s="56" t="s">
        <v>157</v>
      </c>
      <c r="G1" s="56" t="s">
        <v>158</v>
      </c>
      <c r="H1" s="56" t="s">
        <v>159</v>
      </c>
    </row>
    <row r="2" spans="1:8" x14ac:dyDescent="0.25">
      <c r="A2" s="36" t="s">
        <v>62</v>
      </c>
      <c r="B2" s="36" t="s">
        <v>160</v>
      </c>
      <c r="C2" s="36" t="s">
        <v>161</v>
      </c>
      <c r="D2" s="36" t="s">
        <v>162</v>
      </c>
      <c r="E2" s="36" t="s">
        <v>163</v>
      </c>
      <c r="F2" s="36" t="s">
        <v>164</v>
      </c>
      <c r="G2" s="36" t="s">
        <v>165</v>
      </c>
      <c r="H2" s="36" t="s">
        <v>166</v>
      </c>
    </row>
    <row r="3" spans="1:8" x14ac:dyDescent="0.25">
      <c r="A3" s="36"/>
      <c r="B3" s="36"/>
      <c r="C3" s="36"/>
      <c r="D3" s="36"/>
      <c r="E3" s="36"/>
      <c r="F3" s="36"/>
      <c r="G3" s="36"/>
      <c r="H3" s="36"/>
    </row>
    <row r="4" spans="1:8" x14ac:dyDescent="0.25">
      <c r="A4" s="36"/>
      <c r="B4" s="36"/>
      <c r="C4" s="36"/>
      <c r="D4" s="36"/>
      <c r="E4" s="36"/>
      <c r="F4" s="36"/>
      <c r="G4" s="36"/>
      <c r="H4" s="36"/>
    </row>
    <row r="5" spans="1:8" x14ac:dyDescent="0.25">
      <c r="A5" s="36"/>
      <c r="B5" s="36"/>
      <c r="C5" s="36"/>
      <c r="D5" s="36"/>
      <c r="E5" s="36"/>
      <c r="F5" s="36"/>
      <c r="G5" s="36"/>
      <c r="H5" s="36"/>
    </row>
    <row r="6" spans="1:8" x14ac:dyDescent="0.25">
      <c r="A6" s="36"/>
      <c r="B6" s="36"/>
      <c r="C6" s="36"/>
      <c r="D6" s="36"/>
      <c r="E6" s="36"/>
      <c r="F6" s="36"/>
      <c r="G6" s="36"/>
      <c r="H6" s="36"/>
    </row>
    <row r="7" spans="1:8" x14ac:dyDescent="0.25">
      <c r="A7" s="36"/>
      <c r="B7" s="36"/>
      <c r="C7" s="36"/>
      <c r="D7" s="36"/>
      <c r="E7" s="36"/>
      <c r="F7" s="36"/>
      <c r="G7" s="36"/>
      <c r="H7" s="36"/>
    </row>
    <row r="8" spans="1:8" x14ac:dyDescent="0.25">
      <c r="A8" s="36"/>
      <c r="B8" s="36"/>
      <c r="C8" s="36"/>
      <c r="D8" s="36"/>
      <c r="E8" s="36"/>
      <c r="F8" s="36"/>
      <c r="G8" s="36"/>
      <c r="H8" s="36"/>
    </row>
    <row r="9" spans="1:8" x14ac:dyDescent="0.25">
      <c r="A9" s="36"/>
      <c r="B9" s="36"/>
      <c r="C9" s="36"/>
      <c r="D9" s="36"/>
      <c r="E9" s="36"/>
      <c r="F9" s="36"/>
      <c r="G9" s="36"/>
      <c r="H9" s="36"/>
    </row>
    <row r="10" spans="1:8" x14ac:dyDescent="0.25">
      <c r="A10" s="36"/>
      <c r="B10" s="36"/>
      <c r="C10" s="36"/>
      <c r="D10" s="36"/>
      <c r="E10" s="36"/>
      <c r="F10" s="36"/>
      <c r="G10" s="36"/>
      <c r="H10" s="36"/>
    </row>
    <row r="11" spans="1:8" x14ac:dyDescent="0.25">
      <c r="A11" s="36"/>
      <c r="B11" s="36"/>
      <c r="C11" s="36"/>
      <c r="D11" s="36"/>
      <c r="E11" s="36"/>
      <c r="F11" s="36"/>
      <c r="G11" s="36"/>
      <c r="H11" s="3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55"/>
  <sheetViews>
    <sheetView zoomScaleNormal="100" workbookViewId="0">
      <selection activeCell="B53" sqref="B53"/>
    </sheetView>
  </sheetViews>
  <sheetFormatPr defaultColWidth="8.7109375" defaultRowHeight="15" x14ac:dyDescent="0.25"/>
  <cols>
    <col min="1" max="1" width="37.7109375" style="84" bestFit="1" customWidth="1"/>
    <col min="2" max="2" width="130.28515625" style="84" customWidth="1"/>
    <col min="3" max="16384" width="8.7109375" style="84"/>
  </cols>
  <sheetData>
    <row r="1" spans="1:2" x14ac:dyDescent="0.25">
      <c r="A1" s="97" t="s">
        <v>402</v>
      </c>
      <c r="B1" s="98"/>
    </row>
    <row r="2" spans="1:2" x14ac:dyDescent="0.25">
      <c r="A2" s="99" t="s">
        <v>168</v>
      </c>
      <c r="B2" s="46" t="s">
        <v>194</v>
      </c>
    </row>
    <row r="3" spans="1:2" x14ac:dyDescent="0.25">
      <c r="A3" s="99" t="s">
        <v>169</v>
      </c>
      <c r="B3" s="100" t="s">
        <v>652</v>
      </c>
    </row>
    <row r="4" spans="1:2" x14ac:dyDescent="0.25">
      <c r="A4" s="99" t="s">
        <v>356</v>
      </c>
      <c r="B4" s="100" t="s">
        <v>597</v>
      </c>
    </row>
    <row r="5" spans="1:2" x14ac:dyDescent="0.25">
      <c r="A5" s="99" t="s">
        <v>357</v>
      </c>
      <c r="B5" s="100" t="s">
        <v>602</v>
      </c>
    </row>
    <row r="6" spans="1:2" x14ac:dyDescent="0.25">
      <c r="A6" s="99" t="s">
        <v>347</v>
      </c>
      <c r="B6" s="46" t="s">
        <v>600</v>
      </c>
    </row>
    <row r="7" spans="1:2" x14ac:dyDescent="0.25">
      <c r="A7" s="99" t="s">
        <v>348</v>
      </c>
      <c r="B7" s="46" t="s">
        <v>601</v>
      </c>
    </row>
    <row r="8" spans="1:2" x14ac:dyDescent="0.25">
      <c r="A8" s="99" t="s">
        <v>200</v>
      </c>
      <c r="B8" s="46" t="s">
        <v>349</v>
      </c>
    </row>
    <row r="9" spans="1:2" x14ac:dyDescent="0.25">
      <c r="A9" s="99" t="s">
        <v>360</v>
      </c>
      <c r="B9" s="46" t="b">
        <v>0</v>
      </c>
    </row>
    <row r="10" spans="1:2" x14ac:dyDescent="0.25">
      <c r="A10" s="99" t="s">
        <v>361</v>
      </c>
      <c r="B10" s="46" t="b">
        <v>0</v>
      </c>
    </row>
    <row r="11" spans="1:2" x14ac:dyDescent="0.25">
      <c r="A11" s="99" t="s">
        <v>362</v>
      </c>
      <c r="B11" s="46" t="s">
        <v>653</v>
      </c>
    </row>
    <row r="12" spans="1:2" x14ac:dyDescent="0.25">
      <c r="A12" s="99" t="s">
        <v>404</v>
      </c>
      <c r="B12" s="61" t="s">
        <v>654</v>
      </c>
    </row>
    <row r="13" spans="1:2" x14ac:dyDescent="0.25">
      <c r="A13" s="99" t="s">
        <v>405</v>
      </c>
      <c r="B13" s="61" t="s">
        <v>655</v>
      </c>
    </row>
    <row r="14" spans="1:2" x14ac:dyDescent="0.25">
      <c r="A14" s="99" t="s">
        <v>406</v>
      </c>
      <c r="B14" s="61" t="s">
        <v>647</v>
      </c>
    </row>
    <row r="15" spans="1:2" x14ac:dyDescent="0.25">
      <c r="A15" s="99" t="s">
        <v>407</v>
      </c>
      <c r="B15" s="61" t="s">
        <v>648</v>
      </c>
    </row>
    <row r="16" spans="1:2" x14ac:dyDescent="0.25">
      <c r="A16" s="99" t="s">
        <v>365</v>
      </c>
      <c r="B16" s="46" t="s">
        <v>366</v>
      </c>
    </row>
    <row r="17" spans="1:2" x14ac:dyDescent="0.25">
      <c r="A17" s="99" t="s">
        <v>367</v>
      </c>
      <c r="B17" s="46" t="s">
        <v>368</v>
      </c>
    </row>
    <row r="18" spans="1:2" x14ac:dyDescent="0.25">
      <c r="A18" s="99" t="s">
        <v>369</v>
      </c>
      <c r="B18" s="46" t="s">
        <v>370</v>
      </c>
    </row>
    <row r="19" spans="1:2" x14ac:dyDescent="0.25">
      <c r="A19" s="99" t="s">
        <v>371</v>
      </c>
      <c r="B19" s="46" t="s">
        <v>372</v>
      </c>
    </row>
    <row r="20" spans="1:2" x14ac:dyDescent="0.25">
      <c r="A20" s="101" t="s">
        <v>645</v>
      </c>
      <c r="B20" s="102" t="b">
        <v>0</v>
      </c>
    </row>
    <row r="21" spans="1:2" x14ac:dyDescent="0.25">
      <c r="A21" s="103" t="s">
        <v>9</v>
      </c>
      <c r="B21" s="104" t="s">
        <v>656</v>
      </c>
    </row>
    <row r="22" spans="1:2" x14ac:dyDescent="0.25">
      <c r="A22" s="101" t="s">
        <v>490</v>
      </c>
      <c r="B22" s="102" t="s">
        <v>4</v>
      </c>
    </row>
    <row r="23" spans="1:2" x14ac:dyDescent="0.25">
      <c r="A23" s="101" t="s">
        <v>491</v>
      </c>
      <c r="B23" s="102" t="s">
        <v>651</v>
      </c>
    </row>
    <row r="24" spans="1:2" x14ac:dyDescent="0.25">
      <c r="A24" s="101" t="s">
        <v>33</v>
      </c>
      <c r="B24" s="104" t="str">
        <f>'Instantiating VNFM'!F41</f>
        <v>10.10.225.238</v>
      </c>
    </row>
    <row r="25" spans="1:2" x14ac:dyDescent="0.25">
      <c r="A25" s="101" t="s">
        <v>492</v>
      </c>
      <c r="B25" s="102" t="s">
        <v>4</v>
      </c>
    </row>
    <row r="26" spans="1:2" x14ac:dyDescent="0.25">
      <c r="A26" s="101" t="s">
        <v>493</v>
      </c>
      <c r="B26" s="102" t="s">
        <v>651</v>
      </c>
    </row>
    <row r="27" spans="1:2" x14ac:dyDescent="0.25">
      <c r="A27" s="101" t="s">
        <v>489</v>
      </c>
      <c r="B27" s="102" t="b">
        <v>0</v>
      </c>
    </row>
    <row r="28" spans="1:2" x14ac:dyDescent="0.25">
      <c r="A28" s="101" t="s">
        <v>454</v>
      </c>
      <c r="B28" s="102" t="s">
        <v>458</v>
      </c>
    </row>
    <row r="29" spans="1:2" x14ac:dyDescent="0.25">
      <c r="A29" s="101" t="s">
        <v>455</v>
      </c>
      <c r="B29" s="102" t="s">
        <v>460</v>
      </c>
    </row>
    <row r="30" spans="1:2" x14ac:dyDescent="0.25">
      <c r="A30" s="99" t="s">
        <v>456</v>
      </c>
      <c r="B30" s="46" t="s">
        <v>459</v>
      </c>
    </row>
    <row r="31" spans="1:2" x14ac:dyDescent="0.25">
      <c r="A31" s="99" t="s">
        <v>457</v>
      </c>
      <c r="B31" s="46" t="s">
        <v>462</v>
      </c>
    </row>
    <row r="32" spans="1:2" x14ac:dyDescent="0.25">
      <c r="A32" s="99" t="s">
        <v>527</v>
      </c>
      <c r="B32" s="111" t="s">
        <v>583</v>
      </c>
    </row>
    <row r="33" spans="1:2" x14ac:dyDescent="0.25">
      <c r="A33" s="99" t="s">
        <v>537</v>
      </c>
      <c r="B33" s="46" t="s">
        <v>581</v>
      </c>
    </row>
    <row r="34" spans="1:2" x14ac:dyDescent="0.25">
      <c r="A34" s="99" t="s">
        <v>528</v>
      </c>
      <c r="B34" s="100" t="s">
        <v>584</v>
      </c>
    </row>
    <row r="35" spans="1:2" x14ac:dyDescent="0.25">
      <c r="A35" s="99" t="s">
        <v>538</v>
      </c>
      <c r="B35" s="46" t="s">
        <v>582</v>
      </c>
    </row>
    <row r="36" spans="1:2" x14ac:dyDescent="0.25">
      <c r="A36" s="99" t="s">
        <v>539</v>
      </c>
      <c r="B36" s="46" t="s">
        <v>592</v>
      </c>
    </row>
    <row r="37" spans="1:2" x14ac:dyDescent="0.25">
      <c r="A37" s="99" t="s">
        <v>540</v>
      </c>
      <c r="B37" s="46" t="s">
        <v>593</v>
      </c>
    </row>
    <row r="38" spans="1:2" x14ac:dyDescent="0.25">
      <c r="A38" s="99" t="s">
        <v>541</v>
      </c>
      <c r="B38" s="46" t="s">
        <v>594</v>
      </c>
    </row>
    <row r="39" spans="1:2" x14ac:dyDescent="0.25">
      <c r="A39" s="99" t="s">
        <v>544</v>
      </c>
      <c r="B39" s="46" t="s">
        <v>545</v>
      </c>
    </row>
    <row r="40" spans="1:2" x14ac:dyDescent="0.25">
      <c r="A40" s="99" t="s">
        <v>546</v>
      </c>
      <c r="B40" s="46" t="s">
        <v>547</v>
      </c>
    </row>
    <row r="41" spans="1:2" x14ac:dyDescent="0.25">
      <c r="A41" s="99" t="s">
        <v>549</v>
      </c>
      <c r="B41" s="46" t="s">
        <v>548</v>
      </c>
    </row>
    <row r="42" spans="1:2" x14ac:dyDescent="0.25">
      <c r="A42" s="99" t="s">
        <v>550</v>
      </c>
      <c r="B42" s="46" t="s">
        <v>170</v>
      </c>
    </row>
    <row r="43" spans="1:2" x14ac:dyDescent="0.25">
      <c r="A43" s="99" t="s">
        <v>551</v>
      </c>
      <c r="B43" s="46" t="s">
        <v>4</v>
      </c>
    </row>
    <row r="44" spans="1:2" x14ac:dyDescent="0.25">
      <c r="A44" s="99" t="s">
        <v>552</v>
      </c>
      <c r="B44" s="46" t="s">
        <v>170</v>
      </c>
    </row>
    <row r="45" spans="1:2" x14ac:dyDescent="0.25">
      <c r="A45" s="99" t="s">
        <v>529</v>
      </c>
      <c r="B45" s="46" t="s">
        <v>531</v>
      </c>
    </row>
    <row r="46" spans="1:2" x14ac:dyDescent="0.25">
      <c r="A46" s="99" t="s">
        <v>530</v>
      </c>
      <c r="B46" s="46" t="s">
        <v>462</v>
      </c>
    </row>
    <row r="47" spans="1:2" x14ac:dyDescent="0.25">
      <c r="A47" s="99" t="s">
        <v>499</v>
      </c>
      <c r="B47" s="46" t="s">
        <v>498</v>
      </c>
    </row>
    <row r="48" spans="1:2" x14ac:dyDescent="0.25">
      <c r="A48" s="99" t="s">
        <v>500</v>
      </c>
      <c r="B48" s="46" t="s">
        <v>501</v>
      </c>
    </row>
    <row r="49" spans="1:2" x14ac:dyDescent="0.25">
      <c r="A49" s="99" t="s">
        <v>502</v>
      </c>
      <c r="B49" s="46" t="s">
        <v>503</v>
      </c>
    </row>
    <row r="50" spans="1:2" x14ac:dyDescent="0.25">
      <c r="A50" s="99" t="s">
        <v>643</v>
      </c>
      <c r="B50" s="46" t="s">
        <v>644</v>
      </c>
    </row>
    <row r="51" spans="1:2" x14ac:dyDescent="0.25">
      <c r="A51" s="35" t="s">
        <v>449</v>
      </c>
      <c r="B51" s="61" t="s">
        <v>452</v>
      </c>
    </row>
    <row r="52" spans="1:2" x14ac:dyDescent="0.25">
      <c r="A52" s="35" t="s">
        <v>472</v>
      </c>
      <c r="B52" s="61" t="s">
        <v>4</v>
      </c>
    </row>
    <row r="53" spans="1:2" x14ac:dyDescent="0.25">
      <c r="A53" s="35" t="s">
        <v>526</v>
      </c>
      <c r="B53" s="61" t="s">
        <v>651</v>
      </c>
    </row>
    <row r="54" spans="1:2" x14ac:dyDescent="0.25">
      <c r="A54" s="35" t="s">
        <v>463</v>
      </c>
      <c r="B54" s="61" t="s">
        <v>24</v>
      </c>
    </row>
    <row r="55" spans="1:2" x14ac:dyDescent="0.25">
      <c r="A55" s="35" t="s">
        <v>464</v>
      </c>
      <c r="B55" s="61" t="s">
        <v>24</v>
      </c>
    </row>
  </sheetData>
  <dataValidations count="3">
    <dataValidation type="list" showInputMessage="1" showErrorMessage="1" sqref="B29 B31 B46">
      <formula1>"affinity,anti-affinity"</formula1>
    </dataValidation>
    <dataValidation type="list" allowBlank="1" showInputMessage="1" showErrorMessage="1" sqref="B27">
      <formula1>"true,false"</formula1>
    </dataValidation>
    <dataValidation type="list" allowBlank="1" showInputMessage="1" showErrorMessage="1" sqref="B20">
      <formula1>"FALSE, TRUE"</formula1>
    </dataValidation>
  </dataValidations>
  <hyperlinks>
    <hyperlink ref="B32" r:id="rId1"/>
    <hyperlink ref="B34" r:id="rId2"/>
    <hyperlink ref="B4" r:id="rId3"/>
    <hyperlink ref="B3" r:id="rId4"/>
  </hyperlinks>
  <pageMargins left="0.7" right="0.7" top="0.75" bottom="0.75" header="0.3" footer="0.3"/>
  <pageSetup orientation="portrait" r:id="rId5"/>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200"/>
  <sheetViews>
    <sheetView zoomScaleNormal="100" workbookViewId="0">
      <selection activeCell="B6" sqref="B6"/>
    </sheetView>
  </sheetViews>
  <sheetFormatPr defaultRowHeight="15" x14ac:dyDescent="0.25"/>
  <cols>
    <col min="1" max="1" width="32.7109375" bestFit="1" customWidth="1"/>
    <col min="2" max="2" width="39.42578125" bestFit="1" customWidth="1"/>
    <col min="3" max="3" width="15.28515625" bestFit="1" customWidth="1"/>
    <col min="4" max="4" width="33.28515625" bestFit="1" customWidth="1"/>
    <col min="5" max="6" width="37.5703125" bestFit="1" customWidth="1"/>
  </cols>
  <sheetData>
    <row r="1" spans="1:9" x14ac:dyDescent="0.25">
      <c r="A1" s="15"/>
      <c r="B1" s="15"/>
      <c r="C1" s="59" t="s">
        <v>63</v>
      </c>
      <c r="G1" s="9"/>
      <c r="H1" s="9"/>
      <c r="I1" s="9"/>
    </row>
    <row r="2" spans="1:9" x14ac:dyDescent="0.25">
      <c r="A2" s="52" t="s">
        <v>64</v>
      </c>
      <c r="B2" s="50"/>
      <c r="C2" s="9"/>
      <c r="D2" s="52" t="s">
        <v>63</v>
      </c>
      <c r="E2" s="50"/>
      <c r="F2" s="50"/>
      <c r="G2" s="9"/>
      <c r="H2" s="9"/>
      <c r="I2" s="9"/>
    </row>
    <row r="3" spans="1:9" x14ac:dyDescent="0.25">
      <c r="A3" s="24"/>
      <c r="B3" s="24"/>
      <c r="C3" s="60"/>
      <c r="D3" s="24"/>
      <c r="E3" s="24"/>
      <c r="F3" s="24"/>
      <c r="G3" s="9"/>
      <c r="H3" s="9"/>
      <c r="I3" s="9"/>
    </row>
    <row r="4" spans="1:9" x14ac:dyDescent="0.25">
      <c r="A4" s="24"/>
      <c r="B4" s="24"/>
      <c r="C4" s="60"/>
      <c r="D4" s="24"/>
      <c r="E4" s="24"/>
      <c r="F4" s="24"/>
      <c r="G4" s="9"/>
      <c r="H4" s="9"/>
      <c r="I4" s="9"/>
    </row>
    <row r="5" spans="1:9" x14ac:dyDescent="0.25">
      <c r="A5" s="24"/>
      <c r="B5" s="24"/>
      <c r="C5" s="60"/>
      <c r="D5" s="24"/>
      <c r="E5" s="24"/>
      <c r="F5" s="24"/>
      <c r="G5" s="9"/>
      <c r="H5" s="9"/>
      <c r="I5" s="9"/>
    </row>
    <row r="6" spans="1:9" x14ac:dyDescent="0.25">
      <c r="A6" s="35" t="s">
        <v>65</v>
      </c>
      <c r="B6" s="61" t="s">
        <v>66</v>
      </c>
      <c r="C6" s="60"/>
      <c r="D6" s="35"/>
      <c r="E6" s="61"/>
      <c r="F6" s="61"/>
      <c r="G6" s="9"/>
      <c r="H6" s="9"/>
      <c r="I6" s="9"/>
    </row>
    <row r="7" spans="1:9" x14ac:dyDescent="0.25">
      <c r="A7" s="35"/>
      <c r="B7" s="61"/>
      <c r="C7" s="60"/>
      <c r="G7" s="9"/>
      <c r="H7" s="9"/>
      <c r="I7" s="9"/>
    </row>
    <row r="8" spans="1:9" x14ac:dyDescent="0.25">
      <c r="A8" s="35" t="s">
        <v>67</v>
      </c>
      <c r="B8" s="61" t="s">
        <v>68</v>
      </c>
      <c r="C8" s="60"/>
      <c r="D8" s="35" t="s">
        <v>603</v>
      </c>
      <c r="E8" s="61" t="s">
        <v>560</v>
      </c>
      <c r="F8" s="61" t="s">
        <v>560</v>
      </c>
      <c r="G8" s="9"/>
      <c r="H8" s="9"/>
      <c r="I8" s="9"/>
    </row>
    <row r="9" spans="1:9" x14ac:dyDescent="0.25">
      <c r="A9" s="35" t="s">
        <v>69</v>
      </c>
      <c r="B9" s="62" t="s">
        <v>70</v>
      </c>
      <c r="C9" s="60"/>
      <c r="D9" s="35" t="s">
        <v>483</v>
      </c>
      <c r="E9" s="61"/>
      <c r="F9" s="61"/>
      <c r="G9" s="9"/>
      <c r="H9" s="9"/>
      <c r="I9" s="9"/>
    </row>
    <row r="10" spans="1:9" x14ac:dyDescent="0.25">
      <c r="A10" s="14"/>
      <c r="B10" s="14"/>
      <c r="C10" s="60"/>
      <c r="D10" s="35" t="s">
        <v>484</v>
      </c>
      <c r="E10" s="61"/>
      <c r="F10" s="61"/>
      <c r="G10" s="9"/>
      <c r="H10" s="9"/>
      <c r="I10" s="9"/>
    </row>
    <row r="11" spans="1:9" x14ac:dyDescent="0.25">
      <c r="A11" s="47"/>
      <c r="B11" s="95"/>
      <c r="C11" s="60"/>
      <c r="D11" s="35"/>
      <c r="E11" s="61" t="s">
        <v>595</v>
      </c>
      <c r="F11" s="61" t="s">
        <v>596</v>
      </c>
      <c r="G11" s="9"/>
      <c r="H11" s="9"/>
      <c r="I11" s="9"/>
    </row>
    <row r="12" spans="1:9" x14ac:dyDescent="0.25">
      <c r="A12" s="24"/>
      <c r="B12" s="24"/>
      <c r="C12" s="60"/>
      <c r="D12" s="24"/>
      <c r="E12" s="24"/>
      <c r="F12" s="24"/>
      <c r="G12" s="9"/>
      <c r="H12" s="9"/>
      <c r="I12" s="9"/>
    </row>
    <row r="13" spans="1:9" x14ac:dyDescent="0.25">
      <c r="A13" s="35" t="s">
        <v>71</v>
      </c>
      <c r="B13" s="61"/>
      <c r="C13" s="60"/>
      <c r="D13" s="35" t="s">
        <v>71</v>
      </c>
      <c r="E13" s="61"/>
      <c r="F13" s="61"/>
      <c r="G13" s="9"/>
      <c r="H13" s="9"/>
      <c r="I13" s="9"/>
    </row>
    <row r="14" spans="1:9" x14ac:dyDescent="0.25">
      <c r="A14" s="35"/>
      <c r="B14" s="61" t="s">
        <v>72</v>
      </c>
      <c r="C14" s="60"/>
      <c r="D14" s="35"/>
      <c r="E14" s="61" t="s">
        <v>598</v>
      </c>
      <c r="F14" s="61" t="s">
        <v>599</v>
      </c>
      <c r="G14" s="9"/>
      <c r="H14" s="9"/>
      <c r="I14" s="9"/>
    </row>
    <row r="15" spans="1:9" x14ac:dyDescent="0.25">
      <c r="A15" s="24"/>
      <c r="B15" s="24"/>
      <c r="C15" s="60"/>
      <c r="D15" s="35" t="s">
        <v>444</v>
      </c>
      <c r="E15" s="36" t="s">
        <v>461</v>
      </c>
      <c r="F15" s="36" t="s">
        <v>461</v>
      </c>
      <c r="G15" s="9"/>
      <c r="H15" s="9"/>
      <c r="I15" s="9"/>
    </row>
    <row r="16" spans="1:9" x14ac:dyDescent="0.25">
      <c r="A16" s="35" t="s">
        <v>73</v>
      </c>
      <c r="B16" s="61" t="s">
        <v>74</v>
      </c>
      <c r="C16" s="60"/>
      <c r="D16" s="35" t="s">
        <v>73</v>
      </c>
      <c r="E16" s="61" t="s">
        <v>363</v>
      </c>
      <c r="F16" s="61" t="s">
        <v>363</v>
      </c>
      <c r="G16" s="9"/>
      <c r="H16" s="9"/>
      <c r="I16" s="9"/>
    </row>
    <row r="17" spans="1:9" x14ac:dyDescent="0.25">
      <c r="A17" s="24"/>
      <c r="B17" s="24"/>
      <c r="C17" s="60"/>
      <c r="D17" s="24"/>
      <c r="E17" s="24"/>
      <c r="F17" s="24"/>
      <c r="G17" s="9"/>
      <c r="H17" s="9"/>
      <c r="I17" s="9"/>
    </row>
    <row r="18" spans="1:9" x14ac:dyDescent="0.25">
      <c r="A18" s="35" t="s">
        <v>75</v>
      </c>
      <c r="B18" s="61" t="s">
        <v>76</v>
      </c>
      <c r="C18" s="60"/>
      <c r="D18" s="35" t="s">
        <v>75</v>
      </c>
      <c r="E18" s="61" t="s">
        <v>600</v>
      </c>
      <c r="F18" s="61" t="s">
        <v>600</v>
      </c>
      <c r="G18" s="9"/>
      <c r="H18" s="9"/>
      <c r="I18" s="9"/>
    </row>
    <row r="19" spans="1:9" x14ac:dyDescent="0.25">
      <c r="A19" s="24"/>
      <c r="B19" s="24"/>
      <c r="C19" s="60"/>
      <c r="D19" s="24"/>
      <c r="E19" s="24"/>
      <c r="F19" s="24"/>
      <c r="G19" s="9"/>
      <c r="H19" s="9"/>
      <c r="I19" s="9"/>
    </row>
    <row r="20" spans="1:9" x14ac:dyDescent="0.25">
      <c r="A20" s="35" t="s">
        <v>77</v>
      </c>
      <c r="B20" s="63" t="s">
        <v>78</v>
      </c>
      <c r="C20" s="60"/>
      <c r="D20" s="35" t="s">
        <v>79</v>
      </c>
      <c r="E20" s="63" t="s">
        <v>78</v>
      </c>
      <c r="F20" s="63" t="s">
        <v>78</v>
      </c>
      <c r="G20" s="9"/>
      <c r="H20" s="9"/>
      <c r="I20" s="9"/>
    </row>
    <row r="21" spans="1:9" x14ac:dyDescent="0.25">
      <c r="A21" s="24"/>
      <c r="B21" s="24"/>
      <c r="C21" s="60"/>
      <c r="D21" s="24"/>
      <c r="E21" s="24"/>
      <c r="F21" s="24"/>
      <c r="G21" s="9"/>
      <c r="H21" s="9"/>
      <c r="I21" s="9"/>
    </row>
    <row r="22" spans="1:9" x14ac:dyDescent="0.25">
      <c r="A22" s="35" t="s">
        <v>80</v>
      </c>
      <c r="B22" s="83" t="s">
        <v>78</v>
      </c>
      <c r="C22" s="60"/>
      <c r="D22" s="35" t="s">
        <v>81</v>
      </c>
      <c r="E22" s="63" t="s">
        <v>78</v>
      </c>
      <c r="F22" s="63" t="s">
        <v>78</v>
      </c>
      <c r="G22" s="9"/>
      <c r="H22" s="9"/>
      <c r="I22" s="9"/>
    </row>
    <row r="23" spans="1:9" x14ac:dyDescent="0.25">
      <c r="A23" s="24"/>
      <c r="B23" s="64"/>
      <c r="C23" s="60"/>
      <c r="D23" s="24"/>
      <c r="E23" s="24"/>
      <c r="F23" s="24"/>
      <c r="G23" s="9"/>
      <c r="H23" s="9"/>
      <c r="I23" s="9"/>
    </row>
    <row r="24" spans="1:9" x14ac:dyDescent="0.25">
      <c r="A24" s="35" t="s">
        <v>82</v>
      </c>
      <c r="B24" s="63" t="s">
        <v>78</v>
      </c>
      <c r="C24" s="60"/>
      <c r="D24" s="35" t="s">
        <v>83</v>
      </c>
      <c r="E24" s="63" t="s">
        <v>78</v>
      </c>
      <c r="F24" s="63" t="s">
        <v>78</v>
      </c>
      <c r="G24" s="9"/>
      <c r="H24" s="9"/>
      <c r="I24" s="9"/>
    </row>
    <row r="25" spans="1:9" x14ac:dyDescent="0.25">
      <c r="A25" s="24"/>
      <c r="B25" s="24"/>
      <c r="C25" s="60"/>
      <c r="D25" s="24"/>
      <c r="E25" s="24"/>
      <c r="F25" s="24"/>
      <c r="G25" s="9"/>
      <c r="H25" s="9"/>
      <c r="I25" s="9"/>
    </row>
    <row r="26" spans="1:9" x14ac:dyDescent="0.25">
      <c r="A26" s="35" t="s">
        <v>84</v>
      </c>
      <c r="B26" s="63" t="s">
        <v>78</v>
      </c>
      <c r="C26" s="60"/>
      <c r="D26" s="35" t="s">
        <v>84</v>
      </c>
      <c r="E26" s="63" t="s">
        <v>85</v>
      </c>
      <c r="F26" s="63" t="s">
        <v>85</v>
      </c>
      <c r="G26" s="9"/>
      <c r="H26" s="9"/>
      <c r="I26" s="9"/>
    </row>
    <row r="27" spans="1:9" x14ac:dyDescent="0.25">
      <c r="A27" s="24"/>
      <c r="B27" s="24"/>
      <c r="C27" s="60"/>
      <c r="D27" s="24"/>
      <c r="E27" s="24"/>
      <c r="F27" s="24"/>
      <c r="G27" s="9"/>
      <c r="H27" s="9"/>
      <c r="I27" s="9"/>
    </row>
    <row r="28" spans="1:9" x14ac:dyDescent="0.25">
      <c r="A28" s="35" t="s">
        <v>86</v>
      </c>
      <c r="B28" s="63" t="s">
        <v>78</v>
      </c>
      <c r="C28" s="60"/>
      <c r="D28" s="35" t="s">
        <v>87</v>
      </c>
      <c r="E28" s="61" t="s">
        <v>553</v>
      </c>
      <c r="F28" s="61" t="s">
        <v>553</v>
      </c>
      <c r="G28" s="9"/>
      <c r="H28" s="9"/>
      <c r="I28" s="9"/>
    </row>
    <row r="29" spans="1:9" x14ac:dyDescent="0.25">
      <c r="A29" s="24"/>
      <c r="B29" s="24"/>
      <c r="C29" s="60"/>
      <c r="D29" s="35" t="s">
        <v>604</v>
      </c>
      <c r="E29" s="61" t="s">
        <v>554</v>
      </c>
      <c r="F29" s="61" t="s">
        <v>554</v>
      </c>
      <c r="G29" s="9"/>
      <c r="H29" s="9"/>
      <c r="I29" s="9"/>
    </row>
    <row r="30" spans="1:9" x14ac:dyDescent="0.25">
      <c r="A30" s="35" t="s">
        <v>87</v>
      </c>
      <c r="B30" s="63" t="s">
        <v>88</v>
      </c>
      <c r="C30" s="60"/>
      <c r="D30" s="35" t="s">
        <v>605</v>
      </c>
      <c r="E30" s="61" t="s">
        <v>555</v>
      </c>
      <c r="F30" s="61" t="s">
        <v>555</v>
      </c>
      <c r="G30" s="9"/>
      <c r="H30" s="9"/>
      <c r="I30" s="9"/>
    </row>
    <row r="31" spans="1:9" s="14" customFormat="1" x14ac:dyDescent="0.25">
      <c r="A31" s="47"/>
      <c r="B31" s="65"/>
      <c r="C31" s="60"/>
      <c r="D31" s="47"/>
      <c r="E31" s="65"/>
      <c r="F31" s="65"/>
      <c r="G31" s="9"/>
      <c r="H31" s="9"/>
      <c r="I31" s="9"/>
    </row>
    <row r="32" spans="1:9" x14ac:dyDescent="0.25">
      <c r="A32" s="35"/>
      <c r="B32" s="63"/>
      <c r="C32" s="60"/>
      <c r="D32" s="35" t="s">
        <v>450</v>
      </c>
      <c r="E32" s="61" t="s">
        <v>617</v>
      </c>
      <c r="F32" s="61" t="s">
        <v>618</v>
      </c>
      <c r="G32" s="9"/>
      <c r="H32" s="9"/>
      <c r="I32" s="9"/>
    </row>
    <row r="33" spans="1:9" x14ac:dyDescent="0.25">
      <c r="A33" s="35"/>
      <c r="B33" s="63"/>
      <c r="C33" s="60"/>
      <c r="D33" s="35" t="s">
        <v>451</v>
      </c>
      <c r="E33" s="61">
        <v>5</v>
      </c>
      <c r="F33" s="61">
        <v>5</v>
      </c>
      <c r="G33" s="9"/>
      <c r="H33" s="9"/>
      <c r="I33" s="9"/>
    </row>
    <row r="34" spans="1:9" x14ac:dyDescent="0.25">
      <c r="A34" s="24"/>
      <c r="B34" s="24"/>
      <c r="C34" s="60"/>
      <c r="D34" s="24"/>
      <c r="E34" s="24"/>
      <c r="F34" s="24"/>
      <c r="G34" s="9"/>
      <c r="H34" s="9"/>
      <c r="I34" s="9"/>
    </row>
    <row r="35" spans="1:9" x14ac:dyDescent="0.25">
      <c r="A35" s="35" t="s">
        <v>453</v>
      </c>
      <c r="B35" s="61"/>
      <c r="C35" s="60"/>
      <c r="D35" s="35" t="s">
        <v>485</v>
      </c>
      <c r="E35" s="61"/>
      <c r="F35" s="61"/>
      <c r="G35" s="9"/>
      <c r="H35" s="9"/>
      <c r="I35" s="9"/>
    </row>
    <row r="36" spans="1:9" x14ac:dyDescent="0.25">
      <c r="A36" s="35"/>
      <c r="B36" s="61" t="s">
        <v>61</v>
      </c>
      <c r="C36" s="60"/>
      <c r="D36" s="35"/>
      <c r="E36" s="61" t="s">
        <v>585</v>
      </c>
      <c r="F36" s="61" t="s">
        <v>586</v>
      </c>
      <c r="G36" s="9"/>
      <c r="H36" s="9"/>
      <c r="I36" s="9"/>
    </row>
    <row r="37" spans="1:9" x14ac:dyDescent="0.25">
      <c r="A37" s="24"/>
      <c r="B37" s="24"/>
      <c r="C37" s="60"/>
      <c r="D37" s="24"/>
      <c r="E37" s="24"/>
      <c r="F37" s="24"/>
      <c r="G37" s="9"/>
      <c r="H37" s="9"/>
      <c r="I37" s="9"/>
    </row>
    <row r="38" spans="1:9" x14ac:dyDescent="0.25">
      <c r="A38" s="35" t="s">
        <v>89</v>
      </c>
      <c r="B38" s="61"/>
      <c r="C38" s="60"/>
      <c r="D38" s="35" t="s">
        <v>486</v>
      </c>
      <c r="E38" s="61"/>
      <c r="F38" s="61"/>
      <c r="G38" s="9"/>
      <c r="H38" s="9"/>
      <c r="I38" s="9"/>
    </row>
    <row r="39" spans="1:9" x14ac:dyDescent="0.25">
      <c r="A39" s="35"/>
      <c r="B39" s="61" t="s">
        <v>61</v>
      </c>
      <c r="C39" s="60"/>
      <c r="D39" s="35"/>
      <c r="E39" s="61" t="s">
        <v>558</v>
      </c>
      <c r="F39" s="61" t="s">
        <v>559</v>
      </c>
      <c r="G39" s="9"/>
      <c r="H39" s="9"/>
      <c r="I39" s="9"/>
    </row>
    <row r="40" spans="1:9" x14ac:dyDescent="0.25">
      <c r="A40" s="35"/>
      <c r="B40" s="61" t="s">
        <v>10</v>
      </c>
      <c r="C40" s="60"/>
      <c r="D40" s="24"/>
      <c r="E40" s="24"/>
      <c r="F40" s="24"/>
      <c r="G40" s="9"/>
      <c r="H40" s="9"/>
      <c r="I40" s="9"/>
    </row>
    <row r="41" spans="1:9" x14ac:dyDescent="0.25">
      <c r="A41" s="60"/>
      <c r="B41" s="60"/>
      <c r="C41" s="60"/>
      <c r="D41" s="35" t="s">
        <v>487</v>
      </c>
      <c r="E41" s="61"/>
      <c r="F41" s="61"/>
      <c r="G41" s="9"/>
      <c r="H41" s="9"/>
      <c r="I41" s="9"/>
    </row>
    <row r="42" spans="1:9" x14ac:dyDescent="0.25">
      <c r="A42" s="60"/>
      <c r="B42" s="60"/>
      <c r="C42" s="60"/>
      <c r="D42" s="35"/>
      <c r="E42" s="61" t="s">
        <v>556</v>
      </c>
      <c r="F42" s="61" t="s">
        <v>557</v>
      </c>
      <c r="G42" s="9"/>
      <c r="H42" s="9"/>
      <c r="I42" s="9"/>
    </row>
    <row r="43" spans="1:9" x14ac:dyDescent="0.25">
      <c r="A43" s="60"/>
      <c r="B43" s="60"/>
      <c r="C43" s="60"/>
      <c r="D43" s="24"/>
      <c r="E43" s="24"/>
      <c r="F43" s="24"/>
      <c r="G43" s="9"/>
      <c r="H43" s="9"/>
      <c r="I43" s="9"/>
    </row>
    <row r="44" spans="1:9" x14ac:dyDescent="0.25">
      <c r="A44" s="60"/>
      <c r="B44" s="60"/>
      <c r="C44" s="60"/>
      <c r="D44" s="35" t="s">
        <v>494</v>
      </c>
      <c r="E44" s="61"/>
      <c r="F44" s="61"/>
      <c r="G44" s="9"/>
      <c r="H44" s="9"/>
      <c r="I44" s="9"/>
    </row>
    <row r="45" spans="1:9" x14ac:dyDescent="0.25">
      <c r="A45" s="60"/>
      <c r="B45" s="60"/>
      <c r="C45" s="60"/>
      <c r="D45" s="35"/>
      <c r="E45" s="61" t="s">
        <v>595</v>
      </c>
      <c r="F45" s="61" t="s">
        <v>595</v>
      </c>
      <c r="G45" s="9"/>
      <c r="H45" s="9"/>
      <c r="I45" s="9"/>
    </row>
    <row r="46" spans="1:9" x14ac:dyDescent="0.25">
      <c r="A46" s="60"/>
      <c r="B46" s="60"/>
      <c r="C46" s="66"/>
      <c r="D46" s="35"/>
      <c r="E46" s="61" t="s">
        <v>596</v>
      </c>
      <c r="F46" s="61" t="s">
        <v>596</v>
      </c>
      <c r="G46" s="9"/>
      <c r="H46" s="9"/>
      <c r="I46" s="9"/>
    </row>
    <row r="47" spans="1:9" x14ac:dyDescent="0.25">
      <c r="A47" s="9"/>
      <c r="B47" s="9"/>
      <c r="C47" s="9"/>
      <c r="D47" s="9"/>
      <c r="E47" s="9"/>
      <c r="F47" s="9"/>
      <c r="G47" s="9"/>
      <c r="H47" s="9"/>
      <c r="I47" s="9"/>
    </row>
    <row r="48" spans="1:9" x14ac:dyDescent="0.25">
      <c r="A48" s="9"/>
      <c r="B48" s="9"/>
      <c r="C48" s="9"/>
      <c r="D48" s="35" t="s">
        <v>488</v>
      </c>
      <c r="E48" s="61"/>
      <c r="F48" s="61"/>
      <c r="G48" s="9"/>
      <c r="H48" s="9"/>
      <c r="I48" s="9"/>
    </row>
    <row r="49" spans="1:9" x14ac:dyDescent="0.25">
      <c r="A49" s="9"/>
      <c r="B49" s="9"/>
      <c r="C49" s="9"/>
      <c r="D49" s="35"/>
      <c r="E49" s="61" t="s">
        <v>585</v>
      </c>
      <c r="F49" s="61" t="s">
        <v>585</v>
      </c>
      <c r="G49" s="9"/>
      <c r="H49" s="9"/>
      <c r="I49" s="9"/>
    </row>
    <row r="50" spans="1:9" x14ac:dyDescent="0.25">
      <c r="A50" s="9"/>
      <c r="B50" s="9"/>
      <c r="C50" s="9"/>
      <c r="D50" s="35"/>
      <c r="E50" s="61" t="s">
        <v>586</v>
      </c>
      <c r="F50" s="61" t="s">
        <v>586</v>
      </c>
      <c r="G50" s="9"/>
    </row>
    <row r="51" spans="1:9" x14ac:dyDescent="0.25">
      <c r="A51" s="9"/>
      <c r="B51" s="9"/>
      <c r="C51" s="9"/>
      <c r="D51" s="9"/>
      <c r="E51" s="9"/>
      <c r="F51" s="9"/>
      <c r="G51" s="9"/>
    </row>
    <row r="52" spans="1:9" x14ac:dyDescent="0.25">
      <c r="A52" s="9"/>
      <c r="B52" s="9"/>
      <c r="C52" s="9"/>
      <c r="D52" s="35" t="s">
        <v>614</v>
      </c>
      <c r="E52" s="61" t="s">
        <v>24</v>
      </c>
      <c r="F52" s="61" t="s">
        <v>24</v>
      </c>
      <c r="G52" s="9"/>
    </row>
    <row r="53" spans="1:9" x14ac:dyDescent="0.25">
      <c r="A53" s="9"/>
      <c r="B53" s="9"/>
      <c r="C53" s="9"/>
      <c r="D53" s="35" t="s">
        <v>615</v>
      </c>
      <c r="E53" s="61" t="s">
        <v>24</v>
      </c>
      <c r="F53" s="61" t="s">
        <v>24</v>
      </c>
      <c r="G53" s="9"/>
    </row>
    <row r="54" spans="1:9" x14ac:dyDescent="0.25">
      <c r="A54" s="9"/>
      <c r="B54" s="9"/>
      <c r="C54" s="9"/>
      <c r="D54" s="35" t="s">
        <v>613</v>
      </c>
      <c r="E54" s="63" t="s">
        <v>78</v>
      </c>
      <c r="F54" s="63" t="s">
        <v>78</v>
      </c>
      <c r="G54" s="9"/>
    </row>
    <row r="55" spans="1:9" x14ac:dyDescent="0.25">
      <c r="B55" s="9"/>
      <c r="C55" s="9"/>
      <c r="D55" s="35" t="s">
        <v>616</v>
      </c>
      <c r="E55" s="63" t="s">
        <v>85</v>
      </c>
      <c r="F55" s="63" t="s">
        <v>85</v>
      </c>
      <c r="G55" s="9"/>
    </row>
    <row r="56" spans="1:9" x14ac:dyDescent="0.25">
      <c r="A56" s="60"/>
      <c r="B56" s="60"/>
      <c r="C56" s="60"/>
      <c r="D56" s="35" t="s">
        <v>611</v>
      </c>
      <c r="E56" s="61" t="s">
        <v>233</v>
      </c>
      <c r="F56" s="61" t="s">
        <v>233</v>
      </c>
    </row>
    <row r="57" spans="1:9" x14ac:dyDescent="0.25">
      <c r="A57" s="112"/>
      <c r="B57" s="112"/>
      <c r="C57" s="112"/>
      <c r="D57" s="114"/>
      <c r="E57" s="114"/>
      <c r="F57" s="114"/>
    </row>
    <row r="58" spans="1:9" x14ac:dyDescent="0.25">
      <c r="A58" s="112"/>
      <c r="B58" s="112"/>
      <c r="C58" s="112"/>
      <c r="D58" s="112"/>
      <c r="E58" s="112"/>
      <c r="F58" s="112"/>
    </row>
    <row r="59" spans="1:9" x14ac:dyDescent="0.25">
      <c r="A59" s="112"/>
      <c r="B59" s="112"/>
      <c r="C59" s="112"/>
      <c r="D59" s="112"/>
      <c r="E59" s="112"/>
      <c r="F59" s="112"/>
    </row>
    <row r="60" spans="1:9" x14ac:dyDescent="0.25">
      <c r="A60" s="112"/>
      <c r="B60" s="112"/>
      <c r="C60" s="112"/>
      <c r="D60" s="112"/>
      <c r="E60" s="112"/>
      <c r="F60" s="112"/>
    </row>
    <row r="61" spans="1:9" x14ac:dyDescent="0.25">
      <c r="A61" s="112"/>
      <c r="B61" s="112"/>
      <c r="C61" s="112"/>
      <c r="D61" s="112"/>
      <c r="E61" s="112"/>
      <c r="F61" s="112"/>
    </row>
    <row r="62" spans="1:9" x14ac:dyDescent="0.25">
      <c r="A62" s="112"/>
      <c r="B62" s="112"/>
      <c r="C62" s="112"/>
      <c r="D62" s="112"/>
      <c r="E62" s="112"/>
      <c r="F62" s="112"/>
    </row>
    <row r="63" spans="1:9" x14ac:dyDescent="0.25">
      <c r="A63" s="112"/>
      <c r="B63" s="112"/>
      <c r="C63" s="112"/>
      <c r="D63" s="112"/>
      <c r="E63" s="112"/>
      <c r="F63" s="112"/>
    </row>
    <row r="64" spans="1:9" x14ac:dyDescent="0.25">
      <c r="A64" s="112"/>
      <c r="B64" s="112"/>
      <c r="C64" s="112"/>
      <c r="D64" s="112"/>
      <c r="E64" s="112"/>
      <c r="F64" s="112"/>
    </row>
    <row r="65" spans="1:6" x14ac:dyDescent="0.25">
      <c r="A65" s="112"/>
      <c r="B65" s="112"/>
      <c r="C65" s="112"/>
      <c r="D65" s="112"/>
      <c r="E65" s="112"/>
      <c r="F65" s="112"/>
    </row>
    <row r="66" spans="1:6" x14ac:dyDescent="0.25">
      <c r="A66" s="112"/>
      <c r="B66" s="112"/>
      <c r="C66" s="112"/>
      <c r="D66" s="112"/>
      <c r="E66" s="112"/>
      <c r="F66" s="112"/>
    </row>
    <row r="67" spans="1:6" x14ac:dyDescent="0.25">
      <c r="A67" s="112"/>
      <c r="B67" s="112"/>
      <c r="C67" s="112"/>
      <c r="D67" s="112"/>
      <c r="E67" s="112"/>
      <c r="F67" s="112"/>
    </row>
    <row r="68" spans="1:6" x14ac:dyDescent="0.25">
      <c r="A68" s="112"/>
      <c r="B68" s="112"/>
      <c r="C68" s="112"/>
      <c r="D68" s="112"/>
      <c r="E68" s="112"/>
      <c r="F68" s="112"/>
    </row>
    <row r="69" spans="1:6" x14ac:dyDescent="0.25">
      <c r="A69" s="113"/>
      <c r="B69" s="113"/>
      <c r="C69" s="113"/>
      <c r="D69" s="113"/>
      <c r="E69" s="113"/>
      <c r="F69" s="113"/>
    </row>
    <row r="70" spans="1:6" x14ac:dyDescent="0.25">
      <c r="A70" s="113"/>
      <c r="B70" s="113"/>
      <c r="C70" s="113"/>
      <c r="D70" s="113"/>
      <c r="E70" s="113"/>
      <c r="F70" s="113"/>
    </row>
    <row r="71" spans="1:6" x14ac:dyDescent="0.25">
      <c r="A71" s="113"/>
      <c r="B71" s="113"/>
      <c r="C71" s="113"/>
      <c r="D71" s="113"/>
      <c r="E71" s="113"/>
      <c r="F71" s="113"/>
    </row>
    <row r="72" spans="1:6" x14ac:dyDescent="0.25">
      <c r="A72" s="113"/>
      <c r="B72" s="113"/>
      <c r="C72" s="113"/>
      <c r="D72" s="113"/>
      <c r="E72" s="113"/>
      <c r="F72" s="113"/>
    </row>
    <row r="73" spans="1:6" x14ac:dyDescent="0.25">
      <c r="A73" s="113"/>
      <c r="B73" s="113"/>
      <c r="C73" s="113"/>
      <c r="D73" s="113"/>
      <c r="E73" s="113"/>
      <c r="F73" s="113"/>
    </row>
    <row r="74" spans="1:6" x14ac:dyDescent="0.25">
      <c r="A74" s="113"/>
      <c r="B74" s="113"/>
      <c r="C74" s="113"/>
      <c r="D74" s="113"/>
      <c r="E74" s="113"/>
      <c r="F74" s="113"/>
    </row>
    <row r="75" spans="1:6" x14ac:dyDescent="0.25">
      <c r="A75" s="113"/>
      <c r="B75" s="113"/>
      <c r="C75" s="113"/>
      <c r="D75" s="113"/>
      <c r="E75" s="113"/>
      <c r="F75" s="113"/>
    </row>
    <row r="76" spans="1:6" x14ac:dyDescent="0.25">
      <c r="A76" s="113"/>
      <c r="B76" s="113"/>
      <c r="C76" s="113"/>
      <c r="D76" s="113"/>
      <c r="E76" s="113"/>
      <c r="F76" s="113"/>
    </row>
    <row r="77" spans="1:6" x14ac:dyDescent="0.25">
      <c r="A77" s="113"/>
      <c r="B77" s="113"/>
      <c r="C77" s="113"/>
      <c r="D77" s="113"/>
      <c r="E77" s="113"/>
      <c r="F77" s="113"/>
    </row>
    <row r="78" spans="1:6" x14ac:dyDescent="0.25">
      <c r="A78" s="113"/>
      <c r="B78" s="113"/>
      <c r="C78" s="113"/>
      <c r="D78" s="113"/>
      <c r="E78" s="113"/>
      <c r="F78" s="113"/>
    </row>
    <row r="79" spans="1:6" x14ac:dyDescent="0.25">
      <c r="A79" s="113"/>
      <c r="B79" s="113"/>
      <c r="C79" s="113"/>
      <c r="D79" s="113"/>
      <c r="E79" s="113"/>
      <c r="F79" s="113"/>
    </row>
    <row r="80" spans="1:6" x14ac:dyDescent="0.25">
      <c r="A80" s="113"/>
      <c r="B80" s="113"/>
      <c r="C80" s="113"/>
      <c r="D80" s="113"/>
      <c r="E80" s="113"/>
      <c r="F80" s="113"/>
    </row>
    <row r="81" spans="1:6" x14ac:dyDescent="0.25">
      <c r="A81" s="113"/>
      <c r="B81" s="113"/>
      <c r="C81" s="113"/>
      <c r="D81" s="113"/>
      <c r="E81" s="113"/>
      <c r="F81" s="113"/>
    </row>
    <row r="82" spans="1:6" x14ac:dyDescent="0.25">
      <c r="A82" s="113"/>
      <c r="B82" s="113"/>
      <c r="C82" s="113"/>
      <c r="D82" s="113"/>
      <c r="E82" s="113"/>
      <c r="F82" s="113"/>
    </row>
    <row r="83" spans="1:6" x14ac:dyDescent="0.25">
      <c r="A83" s="113"/>
      <c r="B83" s="113"/>
      <c r="C83" s="113"/>
      <c r="D83" s="113"/>
      <c r="E83" s="113"/>
      <c r="F83" s="113"/>
    </row>
    <row r="84" spans="1:6" x14ac:dyDescent="0.25">
      <c r="A84" s="113"/>
      <c r="B84" s="113"/>
      <c r="C84" s="113"/>
      <c r="D84" s="113"/>
      <c r="E84" s="113"/>
      <c r="F84" s="113"/>
    </row>
    <row r="85" spans="1:6" x14ac:dyDescent="0.25">
      <c r="A85" s="113"/>
      <c r="B85" s="113"/>
      <c r="C85" s="113"/>
      <c r="D85" s="113"/>
      <c r="E85" s="113"/>
      <c r="F85" s="113"/>
    </row>
    <row r="86" spans="1:6" x14ac:dyDescent="0.25">
      <c r="A86" s="113"/>
      <c r="B86" s="113"/>
      <c r="C86" s="113"/>
      <c r="D86" s="113"/>
      <c r="E86" s="113"/>
      <c r="F86" s="113"/>
    </row>
    <row r="87" spans="1:6" x14ac:dyDescent="0.25">
      <c r="A87" s="113"/>
      <c r="B87" s="113"/>
      <c r="C87" s="113"/>
      <c r="D87" s="113"/>
      <c r="E87" s="113"/>
      <c r="F87" s="113"/>
    </row>
    <row r="88" spans="1:6" x14ac:dyDescent="0.25">
      <c r="A88" s="113"/>
      <c r="B88" s="113"/>
      <c r="C88" s="113"/>
      <c r="D88" s="113"/>
      <c r="E88" s="113"/>
      <c r="F88" s="113"/>
    </row>
    <row r="89" spans="1:6" x14ac:dyDescent="0.25">
      <c r="A89" s="113"/>
      <c r="B89" s="113"/>
      <c r="C89" s="113"/>
      <c r="D89" s="113"/>
      <c r="E89" s="113"/>
      <c r="F89" s="113"/>
    </row>
    <row r="90" spans="1:6" x14ac:dyDescent="0.25">
      <c r="A90" s="113"/>
      <c r="B90" s="113"/>
      <c r="C90" s="113"/>
      <c r="D90" s="113"/>
      <c r="E90" s="113"/>
      <c r="F90" s="113"/>
    </row>
    <row r="91" spans="1:6" x14ac:dyDescent="0.25">
      <c r="A91" s="113"/>
      <c r="B91" s="113"/>
      <c r="C91" s="113"/>
      <c r="D91" s="113"/>
      <c r="E91" s="113"/>
      <c r="F91" s="113"/>
    </row>
    <row r="92" spans="1:6" x14ac:dyDescent="0.25">
      <c r="A92" s="113"/>
      <c r="B92" s="113"/>
      <c r="C92" s="113"/>
      <c r="D92" s="113"/>
      <c r="E92" s="113"/>
      <c r="F92" s="113"/>
    </row>
    <row r="93" spans="1:6" x14ac:dyDescent="0.25">
      <c r="A93" s="113"/>
      <c r="B93" s="113"/>
      <c r="C93" s="113"/>
      <c r="D93" s="113"/>
      <c r="E93" s="113"/>
      <c r="F93" s="113"/>
    </row>
    <row r="94" spans="1:6" x14ac:dyDescent="0.25">
      <c r="A94" s="113"/>
      <c r="B94" s="113"/>
      <c r="C94" s="113"/>
      <c r="D94" s="113"/>
      <c r="E94" s="113"/>
      <c r="F94" s="113"/>
    </row>
    <row r="95" spans="1:6" x14ac:dyDescent="0.25">
      <c r="A95" s="113"/>
      <c r="B95" s="113"/>
      <c r="C95" s="113"/>
      <c r="D95" s="113"/>
      <c r="E95" s="113"/>
      <c r="F95" s="113"/>
    </row>
    <row r="96" spans="1:6" x14ac:dyDescent="0.25">
      <c r="A96" s="113"/>
      <c r="B96" s="113"/>
      <c r="C96" s="113"/>
      <c r="D96" s="113"/>
      <c r="E96" s="113"/>
      <c r="F96" s="113"/>
    </row>
    <row r="97" spans="1:6" x14ac:dyDescent="0.25">
      <c r="A97" s="113"/>
      <c r="B97" s="113"/>
      <c r="C97" s="113"/>
      <c r="D97" s="113"/>
      <c r="E97" s="113"/>
      <c r="F97" s="113"/>
    </row>
    <row r="98" spans="1:6" x14ac:dyDescent="0.25">
      <c r="A98" s="113"/>
      <c r="B98" s="113"/>
      <c r="C98" s="113"/>
      <c r="D98" s="113"/>
      <c r="E98" s="113"/>
      <c r="F98" s="113"/>
    </row>
    <row r="99" spans="1:6" x14ac:dyDescent="0.25">
      <c r="A99" s="113"/>
      <c r="B99" s="113"/>
      <c r="C99" s="113"/>
      <c r="D99" s="113"/>
      <c r="E99" s="113"/>
      <c r="F99" s="113"/>
    </row>
    <row r="100" spans="1:6" x14ac:dyDescent="0.25">
      <c r="A100" s="113"/>
      <c r="B100" s="113"/>
      <c r="C100" s="113"/>
      <c r="D100" s="113"/>
      <c r="E100" s="113"/>
      <c r="F100" s="113"/>
    </row>
    <row r="101" spans="1:6" x14ac:dyDescent="0.25">
      <c r="A101" s="113"/>
      <c r="B101" s="113"/>
      <c r="C101" s="113"/>
      <c r="D101" s="113"/>
      <c r="E101" s="113"/>
      <c r="F101" s="113"/>
    </row>
    <row r="102" spans="1:6" x14ac:dyDescent="0.25">
      <c r="A102" s="113"/>
      <c r="B102" s="113"/>
      <c r="C102" s="113"/>
      <c r="D102" s="113"/>
      <c r="E102" s="113"/>
      <c r="F102" s="113"/>
    </row>
    <row r="103" spans="1:6" x14ac:dyDescent="0.25">
      <c r="A103" s="113"/>
      <c r="B103" s="113"/>
      <c r="C103" s="113"/>
      <c r="D103" s="113"/>
      <c r="E103" s="113"/>
      <c r="F103" s="113"/>
    </row>
    <row r="104" spans="1:6" x14ac:dyDescent="0.25">
      <c r="A104" s="113"/>
      <c r="B104" s="113"/>
      <c r="C104" s="113"/>
      <c r="D104" s="113"/>
      <c r="E104" s="113"/>
      <c r="F104" s="113"/>
    </row>
    <row r="105" spans="1:6" x14ac:dyDescent="0.25">
      <c r="A105" s="113"/>
      <c r="B105" s="113"/>
      <c r="C105" s="113"/>
      <c r="D105" s="113"/>
      <c r="E105" s="113"/>
      <c r="F105" s="113"/>
    </row>
    <row r="106" spans="1:6" x14ac:dyDescent="0.25">
      <c r="A106" s="113"/>
      <c r="B106" s="113"/>
      <c r="C106" s="113"/>
      <c r="D106" s="113"/>
      <c r="E106" s="113"/>
      <c r="F106" s="113"/>
    </row>
    <row r="107" spans="1:6" x14ac:dyDescent="0.25">
      <c r="A107" s="113"/>
      <c r="B107" s="113"/>
      <c r="C107" s="113"/>
      <c r="D107" s="113"/>
      <c r="E107" s="113"/>
      <c r="F107" s="113"/>
    </row>
    <row r="108" spans="1:6" x14ac:dyDescent="0.25">
      <c r="A108" s="113"/>
      <c r="B108" s="113"/>
      <c r="C108" s="113"/>
      <c r="D108" s="113"/>
      <c r="E108" s="113"/>
      <c r="F108" s="113"/>
    </row>
    <row r="109" spans="1:6" x14ac:dyDescent="0.25">
      <c r="A109" s="113"/>
      <c r="B109" s="113"/>
      <c r="C109" s="113"/>
      <c r="D109" s="113"/>
      <c r="E109" s="113"/>
      <c r="F109" s="113"/>
    </row>
    <row r="110" spans="1:6" x14ac:dyDescent="0.25">
      <c r="A110" s="113"/>
      <c r="B110" s="113"/>
      <c r="C110" s="113"/>
      <c r="D110" s="113"/>
      <c r="E110" s="113"/>
      <c r="F110" s="113"/>
    </row>
    <row r="111" spans="1:6" x14ac:dyDescent="0.25">
      <c r="A111" s="113"/>
      <c r="B111" s="113"/>
      <c r="C111" s="113"/>
      <c r="D111" s="113"/>
      <c r="E111" s="113"/>
      <c r="F111" s="113"/>
    </row>
    <row r="112" spans="1:6" x14ac:dyDescent="0.25">
      <c r="A112" s="113"/>
      <c r="B112" s="113"/>
      <c r="C112" s="113"/>
      <c r="D112" s="113"/>
      <c r="E112" s="113"/>
      <c r="F112" s="113"/>
    </row>
    <row r="113" spans="1:6" x14ac:dyDescent="0.25">
      <c r="A113" s="113"/>
      <c r="B113" s="113"/>
      <c r="C113" s="113"/>
      <c r="D113" s="113"/>
      <c r="E113" s="113"/>
      <c r="F113" s="113"/>
    </row>
    <row r="114" spans="1:6" x14ac:dyDescent="0.25">
      <c r="A114" s="113"/>
      <c r="B114" s="113"/>
      <c r="C114" s="113"/>
      <c r="D114" s="113"/>
      <c r="E114" s="113"/>
      <c r="F114" s="113"/>
    </row>
    <row r="115" spans="1:6" x14ac:dyDescent="0.25">
      <c r="A115" s="113"/>
      <c r="B115" s="113"/>
      <c r="C115" s="113"/>
      <c r="D115" s="113"/>
      <c r="E115" s="113"/>
      <c r="F115" s="113"/>
    </row>
    <row r="116" spans="1:6" x14ac:dyDescent="0.25">
      <c r="A116" s="113"/>
      <c r="B116" s="113"/>
      <c r="C116" s="113"/>
      <c r="D116" s="113"/>
      <c r="E116" s="113"/>
      <c r="F116" s="113"/>
    </row>
    <row r="117" spans="1:6" x14ac:dyDescent="0.25">
      <c r="A117" s="113"/>
      <c r="B117" s="113"/>
      <c r="C117" s="113"/>
      <c r="D117" s="113"/>
      <c r="E117" s="113"/>
      <c r="F117" s="113"/>
    </row>
    <row r="118" spans="1:6" x14ac:dyDescent="0.25">
      <c r="A118" s="113"/>
      <c r="B118" s="113"/>
      <c r="C118" s="113"/>
      <c r="D118" s="113"/>
      <c r="E118" s="113"/>
      <c r="F118" s="113"/>
    </row>
    <row r="119" spans="1:6" x14ac:dyDescent="0.25">
      <c r="A119" s="113"/>
      <c r="B119" s="113"/>
      <c r="C119" s="113"/>
      <c r="D119" s="113"/>
      <c r="E119" s="113"/>
      <c r="F119" s="113"/>
    </row>
    <row r="120" spans="1:6" x14ac:dyDescent="0.25">
      <c r="A120" s="113"/>
      <c r="B120" s="113"/>
      <c r="C120" s="113"/>
      <c r="D120" s="113"/>
      <c r="E120" s="113"/>
      <c r="F120" s="113"/>
    </row>
    <row r="121" spans="1:6" x14ac:dyDescent="0.25">
      <c r="A121" s="113"/>
      <c r="B121" s="113"/>
      <c r="C121" s="113"/>
      <c r="D121" s="113"/>
      <c r="E121" s="113"/>
      <c r="F121" s="113"/>
    </row>
    <row r="122" spans="1:6" x14ac:dyDescent="0.25">
      <c r="A122" s="113"/>
      <c r="B122" s="113"/>
      <c r="C122" s="113"/>
      <c r="D122" s="113"/>
      <c r="E122" s="113"/>
      <c r="F122" s="113"/>
    </row>
    <row r="123" spans="1:6" x14ac:dyDescent="0.25">
      <c r="A123" s="113"/>
      <c r="B123" s="113"/>
      <c r="C123" s="113"/>
      <c r="D123" s="113"/>
      <c r="E123" s="113"/>
      <c r="F123" s="113"/>
    </row>
    <row r="124" spans="1:6" x14ac:dyDescent="0.25">
      <c r="A124" s="113"/>
      <c r="B124" s="113"/>
      <c r="C124" s="113"/>
      <c r="D124" s="113"/>
      <c r="E124" s="113"/>
      <c r="F124" s="113"/>
    </row>
    <row r="125" spans="1:6" x14ac:dyDescent="0.25">
      <c r="A125" s="113"/>
      <c r="B125" s="113"/>
      <c r="C125" s="113"/>
      <c r="D125" s="113"/>
      <c r="E125" s="113"/>
      <c r="F125" s="113"/>
    </row>
    <row r="126" spans="1:6" x14ac:dyDescent="0.25">
      <c r="A126" s="113"/>
      <c r="B126" s="113"/>
      <c r="C126" s="113"/>
      <c r="D126" s="113"/>
      <c r="E126" s="113"/>
      <c r="F126" s="113"/>
    </row>
    <row r="127" spans="1:6" x14ac:dyDescent="0.25">
      <c r="A127" s="113"/>
      <c r="B127" s="113"/>
      <c r="C127" s="113"/>
      <c r="D127" s="113"/>
      <c r="E127" s="113"/>
      <c r="F127" s="113"/>
    </row>
    <row r="128" spans="1:6" x14ac:dyDescent="0.25">
      <c r="A128" s="113"/>
      <c r="B128" s="113"/>
      <c r="C128" s="113"/>
      <c r="D128" s="113"/>
      <c r="E128" s="113"/>
      <c r="F128" s="113"/>
    </row>
    <row r="129" spans="1:6" x14ac:dyDescent="0.25">
      <c r="A129" s="113"/>
      <c r="B129" s="113"/>
      <c r="C129" s="113"/>
      <c r="D129" s="113"/>
      <c r="E129" s="113"/>
      <c r="F129" s="113"/>
    </row>
    <row r="130" spans="1:6" x14ac:dyDescent="0.25">
      <c r="A130" s="113"/>
      <c r="B130" s="113"/>
      <c r="C130" s="113"/>
      <c r="D130" s="113"/>
      <c r="E130" s="113"/>
      <c r="F130" s="113"/>
    </row>
    <row r="131" spans="1:6" x14ac:dyDescent="0.25">
      <c r="A131" s="113"/>
      <c r="B131" s="113"/>
      <c r="C131" s="113"/>
      <c r="D131" s="113"/>
      <c r="E131" s="113"/>
      <c r="F131" s="113"/>
    </row>
    <row r="132" spans="1:6" x14ac:dyDescent="0.25">
      <c r="A132" s="113"/>
      <c r="B132" s="113"/>
      <c r="C132" s="113"/>
      <c r="D132" s="113"/>
      <c r="E132" s="113"/>
      <c r="F132" s="113"/>
    </row>
    <row r="133" spans="1:6" x14ac:dyDescent="0.25">
      <c r="A133" s="113"/>
      <c r="B133" s="113"/>
      <c r="C133" s="113"/>
      <c r="D133" s="113"/>
      <c r="E133" s="113"/>
      <c r="F133" s="113"/>
    </row>
    <row r="134" spans="1:6" x14ac:dyDescent="0.25">
      <c r="A134" s="113"/>
      <c r="B134" s="113"/>
      <c r="C134" s="113"/>
      <c r="D134" s="113"/>
      <c r="E134" s="113"/>
      <c r="F134" s="113"/>
    </row>
    <row r="135" spans="1:6" x14ac:dyDescent="0.25">
      <c r="A135" s="113"/>
      <c r="B135" s="113"/>
      <c r="C135" s="113"/>
      <c r="D135" s="113"/>
      <c r="E135" s="113"/>
      <c r="F135" s="113"/>
    </row>
    <row r="136" spans="1:6" x14ac:dyDescent="0.25">
      <c r="A136" s="113"/>
      <c r="B136" s="113"/>
      <c r="C136" s="113"/>
      <c r="D136" s="113"/>
      <c r="E136" s="113"/>
      <c r="F136" s="113"/>
    </row>
    <row r="137" spans="1:6" x14ac:dyDescent="0.25">
      <c r="A137" s="113"/>
      <c r="B137" s="113"/>
      <c r="C137" s="113"/>
      <c r="D137" s="113"/>
      <c r="E137" s="113"/>
      <c r="F137" s="113"/>
    </row>
    <row r="138" spans="1:6" x14ac:dyDescent="0.25">
      <c r="A138" s="113"/>
      <c r="B138" s="113"/>
      <c r="C138" s="113"/>
      <c r="D138" s="113"/>
      <c r="E138" s="113"/>
      <c r="F138" s="113"/>
    </row>
    <row r="139" spans="1:6" x14ac:dyDescent="0.25">
      <c r="A139" s="113"/>
      <c r="B139" s="113"/>
      <c r="C139" s="113"/>
      <c r="D139" s="113"/>
      <c r="E139" s="113"/>
      <c r="F139" s="113"/>
    </row>
    <row r="140" spans="1:6" x14ac:dyDescent="0.25">
      <c r="A140" s="113"/>
      <c r="B140" s="113"/>
      <c r="C140" s="113"/>
      <c r="D140" s="113"/>
      <c r="E140" s="113"/>
      <c r="F140" s="113"/>
    </row>
    <row r="141" spans="1:6" x14ac:dyDescent="0.25">
      <c r="A141" s="113"/>
      <c r="B141" s="113"/>
      <c r="C141" s="113"/>
      <c r="D141" s="113"/>
      <c r="E141" s="113"/>
      <c r="F141" s="113"/>
    </row>
    <row r="142" spans="1:6" x14ac:dyDescent="0.25">
      <c r="A142" s="113"/>
      <c r="B142" s="113"/>
      <c r="C142" s="113"/>
      <c r="D142" s="113"/>
      <c r="E142" s="113"/>
      <c r="F142" s="113"/>
    </row>
    <row r="143" spans="1:6" x14ac:dyDescent="0.25">
      <c r="A143" s="113"/>
      <c r="B143" s="113"/>
      <c r="C143" s="113"/>
      <c r="D143" s="113"/>
      <c r="E143" s="113"/>
      <c r="F143" s="113"/>
    </row>
    <row r="144" spans="1:6" x14ac:dyDescent="0.25">
      <c r="A144" s="113"/>
      <c r="B144" s="113"/>
      <c r="C144" s="113"/>
      <c r="D144" s="113"/>
      <c r="E144" s="113"/>
      <c r="F144" s="113"/>
    </row>
    <row r="145" spans="1:6" x14ac:dyDescent="0.25">
      <c r="A145" s="113"/>
      <c r="B145" s="113"/>
      <c r="C145" s="113"/>
      <c r="D145" s="113"/>
      <c r="E145" s="113"/>
      <c r="F145" s="113"/>
    </row>
    <row r="146" spans="1:6" x14ac:dyDescent="0.25">
      <c r="A146" s="113"/>
      <c r="B146" s="113"/>
      <c r="C146" s="113"/>
      <c r="D146" s="113"/>
      <c r="E146" s="113"/>
      <c r="F146" s="113"/>
    </row>
    <row r="147" spans="1:6" x14ac:dyDescent="0.25">
      <c r="A147" s="113"/>
      <c r="B147" s="113"/>
      <c r="C147" s="113"/>
      <c r="D147" s="113"/>
      <c r="E147" s="113"/>
      <c r="F147" s="113"/>
    </row>
    <row r="148" spans="1:6" x14ac:dyDescent="0.25">
      <c r="A148" s="113"/>
      <c r="B148" s="113"/>
      <c r="C148" s="113"/>
      <c r="D148" s="113"/>
      <c r="E148" s="113"/>
      <c r="F148" s="113"/>
    </row>
    <row r="149" spans="1:6" x14ac:dyDescent="0.25">
      <c r="A149" s="113"/>
      <c r="B149" s="113"/>
      <c r="C149" s="113"/>
      <c r="D149" s="113"/>
      <c r="E149" s="113"/>
      <c r="F149" s="113"/>
    </row>
    <row r="150" spans="1:6" x14ac:dyDescent="0.25">
      <c r="A150" s="113"/>
      <c r="B150" s="113"/>
      <c r="C150" s="113"/>
      <c r="D150" s="113"/>
      <c r="E150" s="113"/>
      <c r="F150" s="113"/>
    </row>
    <row r="151" spans="1:6" x14ac:dyDescent="0.25">
      <c r="A151" s="113"/>
      <c r="B151" s="113"/>
      <c r="C151" s="113"/>
      <c r="D151" s="113"/>
      <c r="E151" s="113"/>
      <c r="F151" s="113"/>
    </row>
    <row r="152" spans="1:6" x14ac:dyDescent="0.25">
      <c r="A152" s="113"/>
      <c r="B152" s="113"/>
      <c r="C152" s="113"/>
      <c r="D152" s="113"/>
      <c r="E152" s="113"/>
      <c r="F152" s="113"/>
    </row>
    <row r="153" spans="1:6" x14ac:dyDescent="0.25">
      <c r="A153" s="113"/>
      <c r="B153" s="113"/>
      <c r="C153" s="113"/>
      <c r="D153" s="113"/>
      <c r="E153" s="113"/>
      <c r="F153" s="113"/>
    </row>
    <row r="154" spans="1:6" x14ac:dyDescent="0.25">
      <c r="A154" s="113"/>
      <c r="B154" s="113"/>
      <c r="C154" s="113"/>
      <c r="D154" s="113"/>
      <c r="E154" s="113"/>
      <c r="F154" s="113"/>
    </row>
    <row r="155" spans="1:6" x14ac:dyDescent="0.25">
      <c r="A155" s="113"/>
      <c r="B155" s="113"/>
      <c r="C155" s="113"/>
      <c r="D155" s="113"/>
      <c r="E155" s="113"/>
      <c r="F155" s="113"/>
    </row>
    <row r="156" spans="1:6" x14ac:dyDescent="0.25">
      <c r="A156" s="113"/>
      <c r="B156" s="113"/>
      <c r="C156" s="113"/>
      <c r="D156" s="113"/>
      <c r="E156" s="113"/>
      <c r="F156" s="113"/>
    </row>
    <row r="157" spans="1:6" x14ac:dyDescent="0.25">
      <c r="A157" s="113"/>
      <c r="B157" s="113"/>
      <c r="C157" s="113"/>
      <c r="D157" s="113"/>
      <c r="E157" s="113"/>
      <c r="F157" s="113"/>
    </row>
    <row r="158" spans="1:6" x14ac:dyDescent="0.25">
      <c r="A158" s="113"/>
      <c r="B158" s="113"/>
      <c r="C158" s="113"/>
      <c r="D158" s="113"/>
      <c r="E158" s="113"/>
      <c r="F158" s="113"/>
    </row>
    <row r="159" spans="1:6" x14ac:dyDescent="0.25">
      <c r="A159" s="113"/>
      <c r="B159" s="113"/>
      <c r="C159" s="113"/>
      <c r="D159" s="113"/>
      <c r="E159" s="113"/>
      <c r="F159" s="113"/>
    </row>
    <row r="160" spans="1:6" x14ac:dyDescent="0.25">
      <c r="A160" s="113"/>
      <c r="B160" s="113"/>
      <c r="C160" s="113"/>
      <c r="D160" s="113"/>
      <c r="E160" s="113"/>
      <c r="F160" s="113"/>
    </row>
    <row r="161" spans="1:6" x14ac:dyDescent="0.25">
      <c r="A161" s="113"/>
      <c r="B161" s="113"/>
      <c r="C161" s="113"/>
      <c r="D161" s="113"/>
      <c r="E161" s="113"/>
      <c r="F161" s="113"/>
    </row>
    <row r="162" spans="1:6" x14ac:dyDescent="0.25">
      <c r="A162" s="113"/>
      <c r="B162" s="113"/>
      <c r="C162" s="113"/>
      <c r="D162" s="113"/>
      <c r="E162" s="113"/>
      <c r="F162" s="113"/>
    </row>
    <row r="163" spans="1:6" x14ac:dyDescent="0.25">
      <c r="A163" s="113"/>
      <c r="B163" s="113"/>
      <c r="C163" s="113"/>
      <c r="D163" s="113"/>
      <c r="E163" s="113"/>
      <c r="F163" s="113"/>
    </row>
    <row r="164" spans="1:6" x14ac:dyDescent="0.25">
      <c r="A164" s="113"/>
      <c r="B164" s="113"/>
      <c r="C164" s="113"/>
      <c r="D164" s="113"/>
      <c r="E164" s="113"/>
      <c r="F164" s="113"/>
    </row>
    <row r="165" spans="1:6" x14ac:dyDescent="0.25">
      <c r="A165" s="113"/>
      <c r="B165" s="113"/>
      <c r="C165" s="113"/>
      <c r="D165" s="113"/>
      <c r="E165" s="113"/>
      <c r="F165" s="113"/>
    </row>
    <row r="166" spans="1:6" x14ac:dyDescent="0.25">
      <c r="A166" s="113"/>
      <c r="B166" s="113"/>
      <c r="C166" s="113"/>
      <c r="D166" s="113"/>
      <c r="E166" s="113"/>
      <c r="F166" s="113"/>
    </row>
    <row r="167" spans="1:6" x14ac:dyDescent="0.25">
      <c r="A167" s="113"/>
      <c r="B167" s="113"/>
      <c r="C167" s="113"/>
      <c r="D167" s="113"/>
      <c r="E167" s="113"/>
      <c r="F167" s="113"/>
    </row>
    <row r="168" spans="1:6" x14ac:dyDescent="0.25">
      <c r="A168" s="113"/>
      <c r="B168" s="113"/>
      <c r="C168" s="113"/>
      <c r="D168" s="113"/>
      <c r="E168" s="113"/>
      <c r="F168" s="113"/>
    </row>
    <row r="169" spans="1:6" x14ac:dyDescent="0.25">
      <c r="A169" s="113"/>
      <c r="B169" s="113"/>
      <c r="C169" s="113"/>
      <c r="D169" s="113"/>
      <c r="E169" s="113"/>
      <c r="F169" s="113"/>
    </row>
    <row r="170" spans="1:6" x14ac:dyDescent="0.25">
      <c r="A170" s="113"/>
      <c r="B170" s="113"/>
      <c r="C170" s="113"/>
      <c r="D170" s="113"/>
      <c r="E170" s="113"/>
      <c r="F170" s="113"/>
    </row>
    <row r="171" spans="1:6" x14ac:dyDescent="0.25">
      <c r="A171" s="113"/>
      <c r="B171" s="113"/>
      <c r="C171" s="113"/>
      <c r="D171" s="113"/>
      <c r="E171" s="113"/>
      <c r="F171" s="113"/>
    </row>
    <row r="172" spans="1:6" x14ac:dyDescent="0.25">
      <c r="A172" s="113"/>
      <c r="B172" s="113"/>
      <c r="C172" s="113"/>
      <c r="D172" s="113"/>
      <c r="E172" s="113"/>
      <c r="F172" s="113"/>
    </row>
    <row r="173" spans="1:6" x14ac:dyDescent="0.25">
      <c r="A173" s="113"/>
      <c r="B173" s="113"/>
      <c r="C173" s="113"/>
      <c r="D173" s="113"/>
      <c r="E173" s="113"/>
      <c r="F173" s="113"/>
    </row>
    <row r="174" spans="1:6" x14ac:dyDescent="0.25">
      <c r="A174" s="113"/>
      <c r="B174" s="113"/>
      <c r="C174" s="113"/>
      <c r="D174" s="113"/>
      <c r="E174" s="113"/>
      <c r="F174" s="113"/>
    </row>
    <row r="175" spans="1:6" x14ac:dyDescent="0.25">
      <c r="A175" s="113"/>
      <c r="B175" s="113"/>
      <c r="C175" s="113"/>
      <c r="D175" s="113"/>
      <c r="E175" s="113"/>
      <c r="F175" s="113"/>
    </row>
    <row r="176" spans="1:6" x14ac:dyDescent="0.25">
      <c r="A176" s="113"/>
      <c r="B176" s="113"/>
      <c r="C176" s="113"/>
      <c r="D176" s="113"/>
      <c r="E176" s="113"/>
      <c r="F176" s="113"/>
    </row>
    <row r="177" spans="1:6" x14ac:dyDescent="0.25">
      <c r="A177" s="113"/>
      <c r="B177" s="113"/>
      <c r="C177" s="113"/>
      <c r="D177" s="113"/>
      <c r="E177" s="113"/>
      <c r="F177" s="113"/>
    </row>
    <row r="178" spans="1:6" x14ac:dyDescent="0.25">
      <c r="A178" s="113"/>
      <c r="B178" s="113"/>
      <c r="C178" s="113"/>
      <c r="D178" s="113"/>
      <c r="E178" s="113"/>
      <c r="F178" s="113"/>
    </row>
    <row r="179" spans="1:6" x14ac:dyDescent="0.25">
      <c r="A179" s="113"/>
      <c r="B179" s="113"/>
      <c r="C179" s="113"/>
      <c r="D179" s="113"/>
      <c r="E179" s="113"/>
      <c r="F179" s="113"/>
    </row>
    <row r="180" spans="1:6" x14ac:dyDescent="0.25">
      <c r="A180" s="113"/>
      <c r="B180" s="113"/>
      <c r="C180" s="113"/>
      <c r="D180" s="113"/>
      <c r="E180" s="113"/>
      <c r="F180" s="113"/>
    </row>
    <row r="181" spans="1:6" x14ac:dyDescent="0.25">
      <c r="A181" s="113"/>
      <c r="B181" s="113"/>
      <c r="C181" s="113"/>
      <c r="D181" s="113"/>
      <c r="E181" s="113"/>
      <c r="F181" s="113"/>
    </row>
    <row r="182" spans="1:6" x14ac:dyDescent="0.25">
      <c r="A182" s="113"/>
      <c r="B182" s="113"/>
      <c r="C182" s="113"/>
      <c r="D182" s="113"/>
      <c r="E182" s="113"/>
      <c r="F182" s="113"/>
    </row>
    <row r="183" spans="1:6" x14ac:dyDescent="0.25">
      <c r="A183" s="113"/>
      <c r="B183" s="113"/>
      <c r="C183" s="113"/>
      <c r="D183" s="113"/>
      <c r="E183" s="113"/>
      <c r="F183" s="113"/>
    </row>
    <row r="184" spans="1:6" x14ac:dyDescent="0.25">
      <c r="A184" s="113"/>
      <c r="B184" s="113"/>
      <c r="C184" s="113"/>
      <c r="D184" s="113"/>
      <c r="E184" s="113"/>
      <c r="F184" s="113"/>
    </row>
    <row r="185" spans="1:6" x14ac:dyDescent="0.25">
      <c r="A185" s="113"/>
      <c r="B185" s="113"/>
      <c r="C185" s="113"/>
      <c r="D185" s="113"/>
      <c r="E185" s="113"/>
      <c r="F185" s="113"/>
    </row>
    <row r="186" spans="1:6" x14ac:dyDescent="0.25">
      <c r="A186" s="113"/>
      <c r="B186" s="113"/>
      <c r="C186" s="113"/>
      <c r="D186" s="113"/>
      <c r="E186" s="113"/>
      <c r="F186" s="113"/>
    </row>
    <row r="187" spans="1:6" x14ac:dyDescent="0.25">
      <c r="A187" s="113"/>
      <c r="B187" s="113"/>
      <c r="C187" s="113"/>
      <c r="D187" s="113"/>
      <c r="E187" s="113"/>
      <c r="F187" s="113"/>
    </row>
    <row r="188" spans="1:6" x14ac:dyDescent="0.25">
      <c r="A188" s="113"/>
      <c r="B188" s="113"/>
      <c r="C188" s="113"/>
      <c r="D188" s="113"/>
      <c r="E188" s="113"/>
      <c r="F188" s="113"/>
    </row>
    <row r="189" spans="1:6" x14ac:dyDescent="0.25">
      <c r="A189" s="113"/>
      <c r="B189" s="113"/>
      <c r="C189" s="113"/>
      <c r="D189" s="113"/>
      <c r="E189" s="113"/>
      <c r="F189" s="113"/>
    </row>
    <row r="190" spans="1:6" x14ac:dyDescent="0.25">
      <c r="A190" s="113"/>
      <c r="B190" s="113"/>
      <c r="C190" s="113"/>
      <c r="D190" s="113"/>
      <c r="E190" s="113"/>
      <c r="F190" s="113"/>
    </row>
    <row r="191" spans="1:6" x14ac:dyDescent="0.25">
      <c r="A191" s="113"/>
      <c r="B191" s="113"/>
      <c r="C191" s="113"/>
      <c r="D191" s="113"/>
      <c r="E191" s="113"/>
      <c r="F191" s="113"/>
    </row>
    <row r="192" spans="1:6" x14ac:dyDescent="0.25">
      <c r="A192" s="113"/>
      <c r="B192" s="113"/>
      <c r="C192" s="113"/>
      <c r="D192" s="113"/>
      <c r="E192" s="113"/>
      <c r="F192" s="113"/>
    </row>
    <row r="193" spans="1:6" x14ac:dyDescent="0.25">
      <c r="A193" s="113"/>
      <c r="B193" s="113"/>
      <c r="C193" s="113"/>
      <c r="D193" s="113"/>
      <c r="E193" s="113"/>
      <c r="F193" s="113"/>
    </row>
    <row r="194" spans="1:6" x14ac:dyDescent="0.25">
      <c r="A194" s="113"/>
      <c r="B194" s="113"/>
      <c r="C194" s="113"/>
      <c r="D194" s="113"/>
      <c r="E194" s="113"/>
      <c r="F194" s="113"/>
    </row>
    <row r="195" spans="1:6" x14ac:dyDescent="0.25">
      <c r="A195" s="113"/>
      <c r="B195" s="113"/>
      <c r="C195" s="113"/>
      <c r="D195" s="113"/>
      <c r="E195" s="113"/>
      <c r="F195" s="113"/>
    </row>
    <row r="196" spans="1:6" x14ac:dyDescent="0.25">
      <c r="A196" s="113"/>
      <c r="B196" s="113"/>
      <c r="C196" s="113"/>
      <c r="D196" s="113"/>
      <c r="E196" s="113"/>
      <c r="F196" s="113"/>
    </row>
    <row r="197" spans="1:6" x14ac:dyDescent="0.25">
      <c r="A197" s="113"/>
      <c r="B197" s="113"/>
      <c r="C197" s="113"/>
      <c r="D197" s="113"/>
      <c r="E197" s="113"/>
      <c r="F197" s="113"/>
    </row>
    <row r="198" spans="1:6" x14ac:dyDescent="0.25">
      <c r="A198" s="113"/>
      <c r="B198" s="113"/>
      <c r="C198" s="113"/>
      <c r="D198" s="113"/>
      <c r="E198" s="113"/>
      <c r="F198" s="113"/>
    </row>
    <row r="199" spans="1:6" x14ac:dyDescent="0.25">
      <c r="A199" s="113"/>
      <c r="B199" s="113"/>
      <c r="C199" s="113"/>
      <c r="D199" s="113"/>
      <c r="E199" s="113"/>
      <c r="F199" s="113"/>
    </row>
    <row r="200" spans="1:6" x14ac:dyDescent="0.25">
      <c r="A200" s="113"/>
      <c r="B200" s="113"/>
      <c r="C200" s="113"/>
      <c r="D200" s="113"/>
      <c r="E200" s="113"/>
      <c r="F200" s="113"/>
    </row>
  </sheetData>
  <dataValidations count="1">
    <dataValidation type="list" allowBlank="1" showInputMessage="1" showErrorMessage="1" sqref="E15:F15">
      <formula1>"WILL_BE_UPDATED_DURING_RUNTIME"</formula1>
    </dataValidation>
  </dataValidation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H76"/>
  <sheetViews>
    <sheetView zoomScaleNormal="100" workbookViewId="0">
      <selection activeCell="E6" sqref="E6"/>
    </sheetView>
  </sheetViews>
  <sheetFormatPr defaultRowHeight="15" x14ac:dyDescent="0.25"/>
  <cols>
    <col min="1" max="1" width="23.5703125" bestFit="1" customWidth="1"/>
    <col min="2" max="2" width="38.28515625" bestFit="1" customWidth="1"/>
    <col min="3" max="3" width="10.28515625" bestFit="1" customWidth="1"/>
    <col min="4" max="4" width="28" bestFit="1" customWidth="1"/>
    <col min="5" max="5" width="37.5703125" bestFit="1" customWidth="1"/>
    <col min="6" max="6" width="43.7109375" bestFit="1" customWidth="1"/>
  </cols>
  <sheetData>
    <row r="1" spans="1:8" x14ac:dyDescent="0.25">
      <c r="C1" s="57" t="s">
        <v>90</v>
      </c>
      <c r="G1" s="60"/>
      <c r="H1" s="60"/>
    </row>
    <row r="2" spans="1:8" x14ac:dyDescent="0.25">
      <c r="A2" s="57" t="s">
        <v>64</v>
      </c>
      <c r="B2" s="58"/>
      <c r="C2" s="60"/>
      <c r="D2" s="57" t="s">
        <v>90</v>
      </c>
      <c r="E2" s="58"/>
      <c r="F2" s="58"/>
      <c r="G2" s="60"/>
      <c r="H2" s="60"/>
    </row>
    <row r="3" spans="1:8" x14ac:dyDescent="0.25">
      <c r="A3" s="60"/>
      <c r="B3" s="60"/>
      <c r="C3" s="60"/>
      <c r="D3" s="60"/>
      <c r="E3" s="60"/>
      <c r="F3" s="60"/>
      <c r="G3" s="60"/>
      <c r="H3" s="60"/>
    </row>
    <row r="4" spans="1:8" x14ac:dyDescent="0.25">
      <c r="A4" s="60"/>
      <c r="B4" s="60"/>
      <c r="C4" s="60"/>
      <c r="D4" s="60"/>
      <c r="E4" s="60"/>
      <c r="F4" s="60"/>
      <c r="G4" s="60"/>
      <c r="H4" s="60"/>
    </row>
    <row r="5" spans="1:8" x14ac:dyDescent="0.25">
      <c r="A5" s="60"/>
      <c r="B5" s="60"/>
      <c r="C5" s="60"/>
      <c r="D5" s="60"/>
      <c r="E5" s="60"/>
      <c r="F5" s="60"/>
      <c r="G5" s="60"/>
      <c r="H5" s="60"/>
    </row>
    <row r="6" spans="1:8" x14ac:dyDescent="0.25">
      <c r="A6" s="35" t="s">
        <v>91</v>
      </c>
      <c r="B6" s="61" t="s">
        <v>92</v>
      </c>
      <c r="C6" s="60"/>
      <c r="D6" s="35" t="s">
        <v>91</v>
      </c>
      <c r="E6" s="61" t="str">
        <f>HeatTemplate_Conf!B7</f>
        <v>VNFM_IMAGE_SBA</v>
      </c>
      <c r="F6" s="61" t="str">
        <f>HeatTemplate_Conf!B7</f>
        <v>VNFM_IMAGE_SBA</v>
      </c>
      <c r="G6" s="60"/>
      <c r="H6" s="60"/>
    </row>
    <row r="7" spans="1:8" x14ac:dyDescent="0.25">
      <c r="A7" s="35" t="s">
        <v>93</v>
      </c>
      <c r="B7" s="61" t="s">
        <v>94</v>
      </c>
      <c r="C7" s="60"/>
      <c r="D7" s="35" t="s">
        <v>93</v>
      </c>
      <c r="E7" s="61" t="s">
        <v>363</v>
      </c>
      <c r="F7" s="61" t="s">
        <v>363</v>
      </c>
      <c r="G7" s="60"/>
      <c r="H7" s="60"/>
    </row>
    <row r="8" spans="1:8" x14ac:dyDescent="0.25">
      <c r="A8" s="35" t="s">
        <v>95</v>
      </c>
      <c r="B8" s="61" t="s">
        <v>96</v>
      </c>
      <c r="C8" s="60"/>
      <c r="D8" s="35" t="s">
        <v>95</v>
      </c>
      <c r="E8" s="61" t="str">
        <f>HeatTemplate_Conf!B14</f>
        <v>VNFM-1</v>
      </c>
      <c r="F8" s="61" t="str">
        <f>HeatTemplate_Conf!B15</f>
        <v>VNFM-2</v>
      </c>
      <c r="G8" s="60"/>
      <c r="H8" s="60"/>
    </row>
    <row r="9" spans="1:8" x14ac:dyDescent="0.25">
      <c r="A9" s="35" t="s">
        <v>97</v>
      </c>
      <c r="B9" s="61" t="s">
        <v>98</v>
      </c>
      <c r="C9" s="60"/>
      <c r="D9" s="35" t="s">
        <v>97</v>
      </c>
      <c r="E9" s="61" t="str">
        <f>HeatTemplate_Conf!B14</f>
        <v>VNFM-1</v>
      </c>
      <c r="F9" s="61" t="str">
        <f>HeatTemplate_Conf!B15</f>
        <v>VNFM-2</v>
      </c>
      <c r="G9" s="60"/>
      <c r="H9" s="60"/>
    </row>
    <row r="10" spans="1:8" x14ac:dyDescent="0.25">
      <c r="A10" s="35" t="s">
        <v>99</v>
      </c>
      <c r="B10" s="61" t="s">
        <v>100</v>
      </c>
      <c r="C10" s="60"/>
      <c r="D10" s="35" t="s">
        <v>99</v>
      </c>
      <c r="E10" s="61"/>
      <c r="F10" s="61"/>
      <c r="G10" s="60"/>
      <c r="H10" s="60"/>
    </row>
    <row r="11" spans="1:8" x14ac:dyDescent="0.25">
      <c r="C11" s="60"/>
      <c r="G11" s="60"/>
      <c r="H11" s="60"/>
    </row>
    <row r="12" spans="1:8" x14ac:dyDescent="0.25">
      <c r="A12" s="35" t="s">
        <v>101</v>
      </c>
      <c r="B12" s="61" t="s">
        <v>102</v>
      </c>
      <c r="C12" s="60"/>
      <c r="D12" s="35" t="s">
        <v>101</v>
      </c>
      <c r="E12" s="63" t="s">
        <v>85</v>
      </c>
      <c r="F12" s="63" t="s">
        <v>85</v>
      </c>
      <c r="G12" s="60"/>
      <c r="H12" s="60"/>
    </row>
    <row r="13" spans="1:8" x14ac:dyDescent="0.25">
      <c r="A13" s="35" t="s">
        <v>103</v>
      </c>
      <c r="B13" s="61" t="s">
        <v>78</v>
      </c>
      <c r="C13" s="60"/>
      <c r="D13" s="35" t="s">
        <v>103</v>
      </c>
      <c r="E13" s="63" t="s">
        <v>78</v>
      </c>
      <c r="F13" s="63" t="s">
        <v>78</v>
      </c>
      <c r="G13" s="60"/>
      <c r="H13" s="60"/>
    </row>
    <row r="14" spans="1:8" x14ac:dyDescent="0.25">
      <c r="A14" s="35" t="s">
        <v>104</v>
      </c>
      <c r="B14" s="61" t="s">
        <v>78</v>
      </c>
      <c r="C14" s="60"/>
      <c r="D14" s="35" t="s">
        <v>104</v>
      </c>
      <c r="E14" s="63" t="s">
        <v>78</v>
      </c>
      <c r="F14" s="63" t="s">
        <v>78</v>
      </c>
      <c r="G14" s="60"/>
      <c r="H14" s="60"/>
    </row>
    <row r="15" spans="1:8" x14ac:dyDescent="0.25">
      <c r="A15" s="35" t="s">
        <v>105</v>
      </c>
      <c r="B15" s="61" t="s">
        <v>78</v>
      </c>
      <c r="C15" s="60"/>
      <c r="D15" s="35" t="s">
        <v>105</v>
      </c>
      <c r="E15" s="63" t="s">
        <v>78</v>
      </c>
      <c r="F15" s="63" t="s">
        <v>78</v>
      </c>
      <c r="G15" s="60"/>
      <c r="H15" s="60"/>
    </row>
    <row r="16" spans="1:8" x14ac:dyDescent="0.25">
      <c r="A16" s="35" t="s">
        <v>106</v>
      </c>
      <c r="B16" s="61" t="s">
        <v>102</v>
      </c>
      <c r="C16" s="60"/>
      <c r="D16" s="35" t="s">
        <v>106</v>
      </c>
      <c r="E16" s="63" t="s">
        <v>85</v>
      </c>
      <c r="F16" s="63" t="s">
        <v>85</v>
      </c>
      <c r="G16" s="60"/>
      <c r="H16" s="60"/>
    </row>
    <row r="17" spans="1:8" x14ac:dyDescent="0.25">
      <c r="C17" s="60"/>
      <c r="G17" s="60"/>
      <c r="H17" s="60"/>
    </row>
    <row r="18" spans="1:8" x14ac:dyDescent="0.25">
      <c r="A18" s="35" t="s">
        <v>107</v>
      </c>
      <c r="B18" s="61" t="s">
        <v>24</v>
      </c>
      <c r="C18" s="60"/>
      <c r="D18" s="35" t="s">
        <v>107</v>
      </c>
      <c r="E18" s="61" t="s">
        <v>24</v>
      </c>
      <c r="F18" s="61" t="s">
        <v>24</v>
      </c>
      <c r="G18" s="60"/>
      <c r="H18" s="60"/>
    </row>
    <row r="19" spans="1:8" x14ac:dyDescent="0.25">
      <c r="A19" s="35" t="s">
        <v>108</v>
      </c>
      <c r="B19" s="61" t="s">
        <v>24</v>
      </c>
      <c r="C19" s="60"/>
      <c r="D19" s="35" t="s">
        <v>108</v>
      </c>
      <c r="E19" s="61" t="s">
        <v>24</v>
      </c>
      <c r="F19" s="61" t="s">
        <v>24</v>
      </c>
      <c r="G19" s="60"/>
      <c r="H19" s="60"/>
    </row>
    <row r="20" spans="1:8" x14ac:dyDescent="0.25">
      <c r="C20" s="60"/>
      <c r="F20" s="96"/>
      <c r="G20" s="60"/>
      <c r="H20" s="60"/>
    </row>
    <row r="21" spans="1:8" x14ac:dyDescent="0.25">
      <c r="A21" s="35" t="s">
        <v>109</v>
      </c>
      <c r="B21" s="61">
        <v>1</v>
      </c>
      <c r="C21" s="60"/>
      <c r="D21" s="35" t="s">
        <v>612</v>
      </c>
      <c r="E21" s="63" t="s">
        <v>85</v>
      </c>
      <c r="F21" s="63" t="s">
        <v>85</v>
      </c>
      <c r="G21" s="60"/>
      <c r="H21" s="60"/>
    </row>
    <row r="22" spans="1:8" x14ac:dyDescent="0.25">
      <c r="C22" s="60"/>
      <c r="D22" s="35" t="s">
        <v>107</v>
      </c>
      <c r="E22" s="61" t="s">
        <v>24</v>
      </c>
      <c r="F22" s="61" t="s">
        <v>24</v>
      </c>
      <c r="G22" s="60"/>
      <c r="H22" s="60"/>
    </row>
    <row r="23" spans="1:8" x14ac:dyDescent="0.25">
      <c r="A23" s="35" t="s">
        <v>110</v>
      </c>
      <c r="B23" s="61" t="s">
        <v>111</v>
      </c>
      <c r="C23" s="60"/>
      <c r="D23" s="35" t="s">
        <v>108</v>
      </c>
      <c r="E23" s="61" t="s">
        <v>24</v>
      </c>
      <c r="F23" s="61" t="s">
        <v>24</v>
      </c>
      <c r="G23" s="60"/>
      <c r="H23" s="60"/>
    </row>
    <row r="24" spans="1:8" x14ac:dyDescent="0.25">
      <c r="C24" s="60"/>
      <c r="D24" s="35" t="s">
        <v>613</v>
      </c>
      <c r="E24" s="63" t="s">
        <v>78</v>
      </c>
      <c r="F24" s="63" t="s">
        <v>78</v>
      </c>
      <c r="G24" s="60"/>
      <c r="H24" s="60"/>
    </row>
    <row r="25" spans="1:8" x14ac:dyDescent="0.25">
      <c r="A25" s="35" t="s">
        <v>112</v>
      </c>
      <c r="B25" s="61">
        <v>1450</v>
      </c>
      <c r="C25" s="60"/>
      <c r="G25" s="60"/>
      <c r="H25" s="60"/>
    </row>
    <row r="26" spans="1:8" x14ac:dyDescent="0.25">
      <c r="C26" s="60"/>
      <c r="D26" s="35" t="s">
        <v>109</v>
      </c>
      <c r="E26" s="61">
        <v>1</v>
      </c>
      <c r="F26" s="61">
        <v>1</v>
      </c>
      <c r="G26" s="60"/>
      <c r="H26" s="60"/>
    </row>
    <row r="27" spans="1:8" x14ac:dyDescent="0.25">
      <c r="A27" s="35" t="s">
        <v>113</v>
      </c>
      <c r="B27" s="61" t="s">
        <v>114</v>
      </c>
      <c r="C27" s="60"/>
      <c r="G27" s="60"/>
      <c r="H27" s="60"/>
    </row>
    <row r="28" spans="1:8" x14ac:dyDescent="0.25">
      <c r="C28" s="60"/>
      <c r="D28" s="35" t="s">
        <v>110</v>
      </c>
      <c r="E28" s="61" t="s">
        <v>111</v>
      </c>
      <c r="F28" s="61" t="s">
        <v>111</v>
      </c>
      <c r="G28" s="60"/>
      <c r="H28" s="60"/>
    </row>
    <row r="29" spans="1:8" x14ac:dyDescent="0.25">
      <c r="A29" s="35" t="s">
        <v>117</v>
      </c>
      <c r="B29" s="61"/>
      <c r="C29" s="60"/>
      <c r="G29" s="60"/>
      <c r="H29" s="60"/>
    </row>
    <row r="30" spans="1:8" x14ac:dyDescent="0.25">
      <c r="A30" s="35"/>
      <c r="B30" s="61" t="s">
        <v>10</v>
      </c>
      <c r="C30" s="60"/>
      <c r="D30" s="35" t="s">
        <v>112</v>
      </c>
      <c r="E30" s="61">
        <v>0</v>
      </c>
      <c r="F30" s="61">
        <v>0</v>
      </c>
      <c r="G30" s="60"/>
      <c r="H30" s="60"/>
    </row>
    <row r="31" spans="1:8" x14ac:dyDescent="0.25">
      <c r="A31" s="60"/>
      <c r="B31" s="60"/>
      <c r="C31" s="60"/>
      <c r="G31" s="60"/>
      <c r="H31" s="60"/>
    </row>
    <row r="32" spans="1:8" x14ac:dyDescent="0.25">
      <c r="A32" s="60"/>
      <c r="B32" s="60"/>
      <c r="C32" s="60"/>
      <c r="D32" s="35" t="s">
        <v>115</v>
      </c>
      <c r="E32" s="61" t="s">
        <v>553</v>
      </c>
      <c r="F32" s="61" t="s">
        <v>553</v>
      </c>
      <c r="G32" s="60"/>
      <c r="H32" s="60"/>
    </row>
    <row r="33" spans="1:8" x14ac:dyDescent="0.25">
      <c r="A33" s="60"/>
      <c r="B33" s="60"/>
      <c r="C33" s="60"/>
      <c r="D33" s="35" t="s">
        <v>116</v>
      </c>
      <c r="E33" s="61" t="s">
        <v>554</v>
      </c>
      <c r="F33" s="61" t="s">
        <v>554</v>
      </c>
      <c r="G33" s="60"/>
      <c r="H33" s="60"/>
    </row>
    <row r="34" spans="1:8" x14ac:dyDescent="0.25">
      <c r="A34" s="35" t="s">
        <v>121</v>
      </c>
      <c r="B34" s="61" t="s">
        <v>122</v>
      </c>
      <c r="C34" s="60"/>
      <c r="D34" s="35" t="s">
        <v>118</v>
      </c>
      <c r="E34" s="61" t="s">
        <v>555</v>
      </c>
      <c r="F34" s="61" t="s">
        <v>555</v>
      </c>
      <c r="G34" s="60"/>
      <c r="H34" s="60"/>
    </row>
    <row r="35" spans="1:8" x14ac:dyDescent="0.25">
      <c r="C35" s="60"/>
      <c r="E35" s="12"/>
      <c r="F35" s="12"/>
      <c r="G35" s="60"/>
      <c r="H35" s="60"/>
    </row>
    <row r="36" spans="1:8" x14ac:dyDescent="0.25">
      <c r="A36" s="35" t="s">
        <v>124</v>
      </c>
      <c r="B36" s="61" t="s">
        <v>125</v>
      </c>
      <c r="C36" s="60"/>
      <c r="D36" s="35" t="s">
        <v>444</v>
      </c>
      <c r="E36" s="36" t="s">
        <v>461</v>
      </c>
      <c r="F36" s="36" t="s">
        <v>461</v>
      </c>
      <c r="G36" s="60"/>
      <c r="H36" s="60"/>
    </row>
    <row r="37" spans="1:8" x14ac:dyDescent="0.25">
      <c r="A37" s="35" t="s">
        <v>5</v>
      </c>
      <c r="B37" s="61" t="s">
        <v>78</v>
      </c>
      <c r="C37" s="60"/>
      <c r="D37" s="35" t="s">
        <v>119</v>
      </c>
      <c r="E37" s="61"/>
      <c r="F37" s="61"/>
      <c r="G37" s="60"/>
      <c r="H37" s="60"/>
    </row>
    <row r="38" spans="1:8" x14ac:dyDescent="0.25">
      <c r="A38" s="35" t="s">
        <v>126</v>
      </c>
      <c r="B38" s="61" t="s">
        <v>127</v>
      </c>
      <c r="C38" s="60"/>
      <c r="D38" s="35" t="s">
        <v>120</v>
      </c>
      <c r="E38" s="61"/>
      <c r="F38" s="61"/>
      <c r="G38" s="60"/>
      <c r="H38" s="60"/>
    </row>
    <row r="39" spans="1:8" x14ac:dyDescent="0.25">
      <c r="A39" s="35" t="s">
        <v>129</v>
      </c>
      <c r="B39" s="61" t="s">
        <v>127</v>
      </c>
      <c r="C39" s="60"/>
      <c r="D39" s="60"/>
      <c r="E39" s="60"/>
      <c r="F39" s="60"/>
      <c r="G39" s="60"/>
      <c r="H39" s="60"/>
    </row>
    <row r="40" spans="1:8" x14ac:dyDescent="0.25">
      <c r="A40" s="35" t="s">
        <v>130</v>
      </c>
      <c r="B40" s="61" t="s">
        <v>131</v>
      </c>
      <c r="C40" s="60"/>
      <c r="D40" s="35" t="s">
        <v>123</v>
      </c>
      <c r="E40" s="61"/>
      <c r="F40" s="61"/>
      <c r="G40" s="60"/>
      <c r="H40" s="60"/>
    </row>
    <row r="41" spans="1:8" x14ac:dyDescent="0.25">
      <c r="A41" s="60"/>
      <c r="B41" s="60"/>
      <c r="C41" s="60"/>
      <c r="D41" s="35"/>
      <c r="E41" s="61" t="s">
        <v>587</v>
      </c>
      <c r="F41" s="61" t="s">
        <v>588</v>
      </c>
      <c r="G41" s="60"/>
      <c r="H41" s="60"/>
    </row>
    <row r="42" spans="1:8" x14ac:dyDescent="0.25">
      <c r="A42" s="60"/>
      <c r="B42" s="60"/>
      <c r="C42" s="60"/>
      <c r="G42" s="60"/>
      <c r="H42" s="60"/>
    </row>
    <row r="43" spans="1:8" x14ac:dyDescent="0.25">
      <c r="A43" s="60"/>
      <c r="B43" s="60"/>
      <c r="C43" s="60"/>
      <c r="D43" s="35" t="s">
        <v>128</v>
      </c>
      <c r="E43" s="61"/>
      <c r="F43" s="61"/>
      <c r="G43" s="60"/>
      <c r="H43" s="60"/>
    </row>
    <row r="44" spans="1:8" x14ac:dyDescent="0.25">
      <c r="A44" s="60"/>
      <c r="B44" s="60"/>
      <c r="C44" s="60"/>
      <c r="D44" s="35"/>
      <c r="E44" s="61" t="s">
        <v>561</v>
      </c>
      <c r="F44" s="61" t="s">
        <v>562</v>
      </c>
      <c r="G44" s="60"/>
      <c r="H44" s="60"/>
    </row>
    <row r="45" spans="1:8" s="14" customFormat="1" x14ac:dyDescent="0.25">
      <c r="A45" s="60"/>
      <c r="B45" s="60"/>
      <c r="C45" s="60"/>
      <c r="D45"/>
      <c r="E45"/>
      <c r="F45"/>
      <c r="G45" s="60"/>
      <c r="H45" s="60"/>
    </row>
    <row r="46" spans="1:8" x14ac:dyDescent="0.25">
      <c r="A46" s="60"/>
      <c r="B46" s="60"/>
      <c r="C46" s="60"/>
      <c r="D46" s="35" t="s">
        <v>132</v>
      </c>
      <c r="E46" s="61"/>
      <c r="F46" s="61"/>
      <c r="G46" s="60"/>
      <c r="H46" s="60"/>
    </row>
    <row r="47" spans="1:8" x14ac:dyDescent="0.25">
      <c r="A47" s="60"/>
      <c r="B47" s="60"/>
      <c r="C47" s="60"/>
      <c r="D47" s="35"/>
      <c r="E47" s="61" t="s">
        <v>563</v>
      </c>
      <c r="F47" s="61" t="s">
        <v>564</v>
      </c>
      <c r="G47" s="60"/>
      <c r="H47" s="60"/>
    </row>
    <row r="48" spans="1:8" x14ac:dyDescent="0.25">
      <c r="A48" s="60"/>
      <c r="B48" s="60"/>
      <c r="C48" s="60"/>
      <c r="G48" s="60"/>
      <c r="H48" s="60"/>
    </row>
    <row r="49" spans="1:8" x14ac:dyDescent="0.25">
      <c r="A49" s="60"/>
      <c r="B49" s="60"/>
      <c r="C49" s="60"/>
      <c r="D49" s="35" t="s">
        <v>121</v>
      </c>
      <c r="E49" s="61" t="s">
        <v>587</v>
      </c>
      <c r="F49" s="61" t="s">
        <v>588</v>
      </c>
      <c r="G49" s="60"/>
      <c r="H49" s="60"/>
    </row>
    <row r="50" spans="1:8" x14ac:dyDescent="0.25">
      <c r="A50" s="60"/>
      <c r="B50" s="60"/>
      <c r="C50" s="60"/>
      <c r="D50" s="60"/>
      <c r="E50" s="82"/>
      <c r="F50" s="82"/>
      <c r="G50" s="60"/>
      <c r="H50" s="60"/>
    </row>
    <row r="51" spans="1:8" x14ac:dyDescent="0.25">
      <c r="A51" s="60"/>
      <c r="B51" s="60"/>
      <c r="C51" s="60"/>
      <c r="D51" s="80" t="s">
        <v>449</v>
      </c>
      <c r="E51" s="81" t="s">
        <v>133</v>
      </c>
      <c r="F51" s="81" t="s">
        <v>133</v>
      </c>
      <c r="G51" s="60"/>
      <c r="H51" s="60"/>
    </row>
    <row r="52" spans="1:8" x14ac:dyDescent="0.25">
      <c r="A52" s="60"/>
      <c r="B52" s="60"/>
      <c r="C52" s="60"/>
      <c r="G52" s="60"/>
      <c r="H52" s="60"/>
    </row>
    <row r="53" spans="1:8" x14ac:dyDescent="0.25">
      <c r="A53" s="60"/>
      <c r="B53" s="60"/>
      <c r="C53" s="60"/>
      <c r="D53" s="35" t="s">
        <v>124</v>
      </c>
      <c r="E53" s="61" t="s">
        <v>134</v>
      </c>
      <c r="F53" s="61" t="s">
        <v>125</v>
      </c>
      <c r="G53" s="60"/>
      <c r="H53" s="60"/>
    </row>
    <row r="54" spans="1:8" x14ac:dyDescent="0.25">
      <c r="A54" s="60"/>
      <c r="B54" s="60"/>
      <c r="C54" s="60"/>
      <c r="D54" s="35" t="s">
        <v>5</v>
      </c>
      <c r="E54" s="63" t="s">
        <v>85</v>
      </c>
      <c r="F54" s="63" t="s">
        <v>85</v>
      </c>
      <c r="G54" s="60"/>
      <c r="H54" s="60"/>
    </row>
    <row r="55" spans="1:8" x14ac:dyDescent="0.25">
      <c r="A55" s="60"/>
      <c r="B55" s="60"/>
      <c r="C55" s="60"/>
      <c r="D55" s="35" t="s">
        <v>126</v>
      </c>
      <c r="E55" s="61" t="s">
        <v>562</v>
      </c>
      <c r="F55" s="61" t="s">
        <v>561</v>
      </c>
      <c r="G55" s="60"/>
      <c r="H55" s="60"/>
    </row>
    <row r="56" spans="1:8" x14ac:dyDescent="0.25">
      <c r="A56" s="60"/>
      <c r="B56" s="60"/>
      <c r="C56" s="60"/>
      <c r="D56" s="35" t="s">
        <v>129</v>
      </c>
      <c r="E56" s="61" t="s">
        <v>588</v>
      </c>
      <c r="F56" s="61" t="s">
        <v>587</v>
      </c>
      <c r="G56" s="60"/>
      <c r="H56" s="60"/>
    </row>
    <row r="57" spans="1:8" x14ac:dyDescent="0.25">
      <c r="A57" s="60"/>
      <c r="B57" s="60"/>
      <c r="C57" s="60"/>
      <c r="D57" s="35" t="s">
        <v>130</v>
      </c>
      <c r="E57" s="61" t="s">
        <v>364</v>
      </c>
      <c r="F57" s="61" t="s">
        <v>364</v>
      </c>
      <c r="G57" s="60"/>
      <c r="H57" s="60"/>
    </row>
    <row r="58" spans="1:8" x14ac:dyDescent="0.25">
      <c r="A58" s="60"/>
      <c r="B58" s="60"/>
      <c r="C58" s="60"/>
      <c r="D58" s="60"/>
      <c r="E58" s="60"/>
      <c r="F58" s="60"/>
      <c r="G58" s="60"/>
      <c r="H58" s="60"/>
    </row>
    <row r="59" spans="1:8" x14ac:dyDescent="0.25">
      <c r="A59" s="60"/>
      <c r="B59" s="60"/>
      <c r="C59" s="60"/>
      <c r="D59" s="35" t="s">
        <v>606</v>
      </c>
      <c r="E59" s="61">
        <v>1</v>
      </c>
      <c r="F59" s="61">
        <v>1</v>
      </c>
      <c r="G59" s="60"/>
      <c r="H59" s="60"/>
    </row>
    <row r="60" spans="1:8" x14ac:dyDescent="0.25">
      <c r="A60" s="60"/>
      <c r="B60" s="60"/>
      <c r="C60" s="60"/>
      <c r="D60" s="35" t="s">
        <v>607</v>
      </c>
      <c r="E60" s="61">
        <v>1</v>
      </c>
      <c r="F60" s="61">
        <v>1</v>
      </c>
      <c r="G60" s="60"/>
      <c r="H60" s="60"/>
    </row>
    <row r="61" spans="1:8" x14ac:dyDescent="0.25">
      <c r="A61" s="60"/>
      <c r="B61" s="60"/>
      <c r="C61" s="60"/>
      <c r="D61" s="35" t="s">
        <v>608</v>
      </c>
      <c r="E61" s="61">
        <v>0</v>
      </c>
      <c r="F61" s="61">
        <v>0</v>
      </c>
      <c r="G61" s="60"/>
      <c r="H61" s="60"/>
    </row>
    <row r="62" spans="1:8" x14ac:dyDescent="0.25">
      <c r="A62" s="60"/>
      <c r="B62" s="60"/>
      <c r="C62" s="60"/>
      <c r="D62" s="35" t="s">
        <v>609</v>
      </c>
      <c r="E62" s="63" t="s">
        <v>85</v>
      </c>
      <c r="F62" s="63" t="s">
        <v>85</v>
      </c>
      <c r="G62" s="60"/>
      <c r="H62" s="60"/>
    </row>
    <row r="63" spans="1:8" x14ac:dyDescent="0.25">
      <c r="A63" s="60"/>
      <c r="B63" s="60"/>
      <c r="C63" s="60"/>
      <c r="D63" s="35" t="s">
        <v>610</v>
      </c>
      <c r="E63" s="63" t="s">
        <v>85</v>
      </c>
      <c r="F63" s="63" t="s">
        <v>85</v>
      </c>
      <c r="G63" s="60"/>
      <c r="H63" s="60"/>
    </row>
    <row r="64" spans="1:8" x14ac:dyDescent="0.25">
      <c r="A64" s="60"/>
      <c r="B64" s="60"/>
      <c r="C64" s="60"/>
      <c r="D64" s="35" t="s">
        <v>611</v>
      </c>
      <c r="E64" s="61" t="s">
        <v>233</v>
      </c>
      <c r="F64" s="61" t="s">
        <v>233</v>
      </c>
    </row>
    <row r="65" spans="1:6" x14ac:dyDescent="0.25">
      <c r="A65" s="60"/>
      <c r="B65" s="60"/>
      <c r="C65" s="60"/>
      <c r="D65" s="60"/>
      <c r="E65" s="60"/>
      <c r="F65" s="60"/>
    </row>
    <row r="66" spans="1:6" x14ac:dyDescent="0.25">
      <c r="A66" s="60"/>
      <c r="B66" s="60"/>
      <c r="C66" s="60"/>
      <c r="D66" s="35" t="s">
        <v>445</v>
      </c>
      <c r="E66" s="61" t="s">
        <v>78</v>
      </c>
      <c r="F66" s="61" t="s">
        <v>78</v>
      </c>
    </row>
    <row r="67" spans="1:6" x14ac:dyDescent="0.25">
      <c r="A67" s="60"/>
      <c r="B67" s="60"/>
      <c r="C67" s="60"/>
      <c r="D67" s="35" t="s">
        <v>446</v>
      </c>
      <c r="E67" s="61" t="s">
        <v>448</v>
      </c>
      <c r="F67" s="61" t="s">
        <v>448</v>
      </c>
    </row>
    <row r="68" spans="1:6" x14ac:dyDescent="0.25">
      <c r="A68" s="60"/>
      <c r="B68" s="60"/>
      <c r="C68" s="60"/>
      <c r="D68" s="35" t="s">
        <v>447</v>
      </c>
      <c r="E68" s="61">
        <v>8500</v>
      </c>
      <c r="F68" s="61">
        <v>8500</v>
      </c>
    </row>
    <row r="69" spans="1:6" x14ac:dyDescent="0.25">
      <c r="A69" s="60"/>
      <c r="B69" s="60"/>
      <c r="C69" s="60"/>
      <c r="D69" s="60"/>
      <c r="E69" s="60"/>
      <c r="F69" s="60"/>
    </row>
    <row r="70" spans="1:6" x14ac:dyDescent="0.25">
      <c r="A70" s="60"/>
      <c r="B70" s="60"/>
      <c r="C70" s="60"/>
      <c r="D70" s="60"/>
      <c r="E70" s="60"/>
      <c r="F70" s="60"/>
    </row>
    <row r="71" spans="1:6" x14ac:dyDescent="0.25">
      <c r="A71" s="60"/>
      <c r="B71" s="60"/>
      <c r="C71" s="60"/>
      <c r="E71" s="60"/>
    </row>
    <row r="72" spans="1:6" x14ac:dyDescent="0.25">
      <c r="A72" s="60"/>
      <c r="B72" s="60"/>
      <c r="C72" s="60"/>
      <c r="D72" s="60"/>
      <c r="E72" s="60"/>
      <c r="F72" s="60"/>
    </row>
    <row r="73" spans="1:6" x14ac:dyDescent="0.25">
      <c r="A73" s="60"/>
      <c r="B73" s="60"/>
      <c r="C73" s="60"/>
      <c r="D73" s="60"/>
      <c r="E73" s="60"/>
      <c r="F73" s="60"/>
    </row>
    <row r="74" spans="1:6" x14ac:dyDescent="0.25">
      <c r="A74" s="60"/>
      <c r="B74" s="60"/>
      <c r="C74" s="60"/>
      <c r="D74" s="60"/>
      <c r="E74" s="60"/>
      <c r="F74" s="60"/>
    </row>
    <row r="75" spans="1:6" x14ac:dyDescent="0.25">
      <c r="D75" s="60"/>
      <c r="E75" s="60"/>
      <c r="F75" s="60"/>
    </row>
    <row r="76" spans="1:6" x14ac:dyDescent="0.25">
      <c r="D76" s="60"/>
      <c r="E76" s="60"/>
      <c r="F76" s="60"/>
    </row>
  </sheetData>
  <dataValidations count="1">
    <dataValidation type="list" allowBlank="1" showInputMessage="1" showErrorMessage="1" sqref="E36:F36">
      <formula1>"WILL_BE_UPDATED_DURING_RUNTIME"</formula1>
    </dataValidation>
  </dataValidation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27"/>
  <sheetViews>
    <sheetView topLeftCell="I7" workbookViewId="0">
      <selection activeCell="B26" sqref="B26"/>
    </sheetView>
  </sheetViews>
  <sheetFormatPr defaultRowHeight="15" x14ac:dyDescent="0.25"/>
  <cols>
    <col min="1" max="1" width="27.7109375" bestFit="1" customWidth="1"/>
    <col min="2" max="2" width="49.28515625" bestFit="1" customWidth="1"/>
    <col min="3" max="5" width="36.5703125" bestFit="1" customWidth="1"/>
  </cols>
  <sheetData>
    <row r="1" spans="1:5" ht="15.75" x14ac:dyDescent="0.25">
      <c r="A1" s="107" t="s">
        <v>520</v>
      </c>
      <c r="B1" s="108"/>
      <c r="C1" s="108"/>
      <c r="D1" s="108"/>
      <c r="E1" s="108"/>
    </row>
    <row r="2" spans="1:5" x14ac:dyDescent="0.25">
      <c r="A2" s="35" t="s">
        <v>521</v>
      </c>
      <c r="B2" s="61" t="s">
        <v>636</v>
      </c>
      <c r="C2" s="61" t="s">
        <v>637</v>
      </c>
      <c r="D2" s="61" t="s">
        <v>638</v>
      </c>
      <c r="E2" s="61" t="s">
        <v>639</v>
      </c>
    </row>
    <row r="3" spans="1:5" x14ac:dyDescent="0.25">
      <c r="A3" s="35" t="s">
        <v>522</v>
      </c>
      <c r="B3" s="61">
        <v>20</v>
      </c>
      <c r="C3" s="61">
        <v>20</v>
      </c>
      <c r="D3" s="61">
        <v>20</v>
      </c>
      <c r="E3" s="61">
        <v>20</v>
      </c>
    </row>
    <row r="4" spans="1:5" ht="15.75" x14ac:dyDescent="0.25">
      <c r="A4" s="107" t="s">
        <v>519</v>
      </c>
      <c r="B4" s="108" t="s">
        <v>634</v>
      </c>
      <c r="C4" s="108" t="s">
        <v>635</v>
      </c>
      <c r="D4" s="108" t="s">
        <v>635</v>
      </c>
      <c r="E4" s="108" t="s">
        <v>635</v>
      </c>
    </row>
    <row r="5" spans="1:5" x14ac:dyDescent="0.25">
      <c r="A5" s="35" t="s">
        <v>65</v>
      </c>
      <c r="B5" s="61" t="s">
        <v>507</v>
      </c>
      <c r="C5" s="61" t="s">
        <v>532</v>
      </c>
      <c r="D5" s="61" t="s">
        <v>533</v>
      </c>
      <c r="E5" s="61" t="s">
        <v>533</v>
      </c>
    </row>
    <row r="6" spans="1:5" x14ac:dyDescent="0.25">
      <c r="A6" s="35" t="s">
        <v>67</v>
      </c>
      <c r="B6" s="61" t="s">
        <v>363</v>
      </c>
      <c r="C6" s="61" t="s">
        <v>363</v>
      </c>
      <c r="D6" s="61" t="s">
        <v>363</v>
      </c>
      <c r="E6" s="61" t="s">
        <v>363</v>
      </c>
    </row>
    <row r="7" spans="1:5" x14ac:dyDescent="0.25">
      <c r="A7" s="35" t="s">
        <v>69</v>
      </c>
      <c r="B7" s="61" t="s">
        <v>505</v>
      </c>
      <c r="C7" s="61" t="s">
        <v>506</v>
      </c>
      <c r="D7" s="61" t="s">
        <v>534</v>
      </c>
      <c r="E7" s="61" t="s">
        <v>534</v>
      </c>
    </row>
    <row r="9" spans="1:5" x14ac:dyDescent="0.25">
      <c r="A9" s="35" t="s">
        <v>508</v>
      </c>
      <c r="B9" s="61" t="s">
        <v>580</v>
      </c>
      <c r="C9" s="61" t="s">
        <v>589</v>
      </c>
      <c r="D9" s="61" t="s">
        <v>590</v>
      </c>
      <c r="E9" s="61" t="s">
        <v>632</v>
      </c>
    </row>
    <row r="10" spans="1:5" x14ac:dyDescent="0.25">
      <c r="A10" s="35" t="s">
        <v>509</v>
      </c>
      <c r="B10" s="96"/>
      <c r="C10" s="96"/>
      <c r="D10" s="96"/>
      <c r="E10" s="96"/>
    </row>
    <row r="11" spans="1:5" x14ac:dyDescent="0.25">
      <c r="A11" s="35"/>
      <c r="B11" s="61" t="s">
        <v>510</v>
      </c>
      <c r="C11" s="61" t="s">
        <v>535</v>
      </c>
      <c r="D11" s="61" t="s">
        <v>536</v>
      </c>
      <c r="E11" s="61" t="s">
        <v>591</v>
      </c>
    </row>
    <row r="13" spans="1:5" x14ac:dyDescent="0.25">
      <c r="A13" s="35" t="s">
        <v>511</v>
      </c>
      <c r="B13" s="61" t="s">
        <v>512</v>
      </c>
      <c r="C13" s="61" t="s">
        <v>512</v>
      </c>
      <c r="D13" s="61" t="s">
        <v>512</v>
      </c>
      <c r="E13" s="61" t="s">
        <v>512</v>
      </c>
    </row>
    <row r="14" spans="1:5" x14ac:dyDescent="0.25">
      <c r="A14" s="35" t="s">
        <v>444</v>
      </c>
      <c r="B14" s="36" t="s">
        <v>461</v>
      </c>
      <c r="C14" s="36" t="s">
        <v>461</v>
      </c>
      <c r="D14" s="36" t="s">
        <v>461</v>
      </c>
      <c r="E14" s="36" t="s">
        <v>461</v>
      </c>
    </row>
    <row r="16" spans="1:5" x14ac:dyDescent="0.25">
      <c r="A16" s="35" t="s">
        <v>513</v>
      </c>
      <c r="B16" s="61" t="s">
        <v>633</v>
      </c>
      <c r="C16" s="61" t="s">
        <v>633</v>
      </c>
      <c r="D16" s="61" t="s">
        <v>633</v>
      </c>
      <c r="E16" s="61" t="s">
        <v>633</v>
      </c>
    </row>
    <row r="17" spans="1:5" x14ac:dyDescent="0.25">
      <c r="A17" s="35" t="s">
        <v>514</v>
      </c>
      <c r="B17" s="61" t="s">
        <v>581</v>
      </c>
      <c r="C17" s="61" t="s">
        <v>582</v>
      </c>
      <c r="D17" s="61" t="s">
        <v>582</v>
      </c>
      <c r="E17" s="61" t="s">
        <v>582</v>
      </c>
    </row>
    <row r="18" spans="1:5" x14ac:dyDescent="0.25">
      <c r="A18" s="35" t="s">
        <v>515</v>
      </c>
      <c r="B18" s="36" t="str">
        <f>B2</f>
        <v>VOL_CRDL_ADMIN_1</v>
      </c>
      <c r="C18" s="36" t="str">
        <f t="shared" ref="C18:D18" si="0">C2</f>
        <v>VOL_CRDL_CLUSTER_1</v>
      </c>
      <c r="D18" s="36" t="str">
        <f t="shared" si="0"/>
        <v>VOL_CRDL_CLUSTER_2</v>
      </c>
      <c r="E18" s="36" t="str">
        <f t="shared" ref="E18" si="1">E2</f>
        <v>VOL_CRDL_CLUSTER_3</v>
      </c>
    </row>
    <row r="20" spans="1:5" x14ac:dyDescent="0.25">
      <c r="A20" s="35" t="s">
        <v>516</v>
      </c>
      <c r="B20" s="61" t="s">
        <v>233</v>
      </c>
      <c r="C20" s="61" t="s">
        <v>233</v>
      </c>
      <c r="D20" s="61" t="s">
        <v>233</v>
      </c>
      <c r="E20" s="61" t="s">
        <v>233</v>
      </c>
    </row>
    <row r="21" spans="1:5" x14ac:dyDescent="0.25">
      <c r="B21" s="12"/>
      <c r="C21" s="12"/>
      <c r="D21" s="12"/>
      <c r="E21" s="12"/>
    </row>
    <row r="22" spans="1:5" x14ac:dyDescent="0.25">
      <c r="A22" s="35" t="s">
        <v>87</v>
      </c>
      <c r="B22" s="61" t="s">
        <v>623</v>
      </c>
      <c r="C22" s="61" t="s">
        <v>623</v>
      </c>
      <c r="D22" s="61" t="s">
        <v>623</v>
      </c>
      <c r="E22" s="61" t="s">
        <v>623</v>
      </c>
    </row>
    <row r="23" spans="1:5" x14ac:dyDescent="0.25">
      <c r="A23" s="35" t="s">
        <v>517</v>
      </c>
      <c r="B23" s="106"/>
      <c r="C23" s="106"/>
      <c r="D23" s="106"/>
      <c r="E23" s="106"/>
    </row>
    <row r="24" spans="1:5" x14ac:dyDescent="0.25">
      <c r="A24" s="35"/>
      <c r="B24" s="61" t="s">
        <v>624</v>
      </c>
      <c r="C24" s="61" t="s">
        <v>626</v>
      </c>
      <c r="D24" s="61" t="s">
        <v>627</v>
      </c>
      <c r="E24" s="61" t="s">
        <v>628</v>
      </c>
    </row>
    <row r="25" spans="1:5" x14ac:dyDescent="0.25">
      <c r="A25" s="35" t="s">
        <v>518</v>
      </c>
      <c r="B25" s="61" t="s">
        <v>354</v>
      </c>
      <c r="C25" s="61" t="s">
        <v>354</v>
      </c>
      <c r="D25" s="61" t="s">
        <v>354</v>
      </c>
      <c r="E25" s="61" t="s">
        <v>354</v>
      </c>
    </row>
    <row r="26" spans="1:5" x14ac:dyDescent="0.25">
      <c r="A26" s="35" t="s">
        <v>543</v>
      </c>
      <c r="B26" s="106"/>
      <c r="C26" s="106"/>
      <c r="D26" s="106"/>
      <c r="E26" s="106"/>
    </row>
    <row r="27" spans="1:5" x14ac:dyDescent="0.25">
      <c r="A27" s="35"/>
      <c r="B27" s="61" t="s">
        <v>629</v>
      </c>
      <c r="C27" s="61" t="s">
        <v>630</v>
      </c>
      <c r="D27" s="61" t="s">
        <v>625</v>
      </c>
      <c r="E27" s="61" t="s">
        <v>631</v>
      </c>
    </row>
  </sheetData>
  <dataValidations count="3">
    <dataValidation type="list" allowBlank="1" showInputMessage="1" showErrorMessage="1" sqref="B14:E14">
      <formula1>"WILL_BE_UPDATED_DURING_RUNTIME"</formula1>
    </dataValidation>
    <dataValidation type="list" allowBlank="1" showInputMessage="1" showErrorMessage="1" sqref="B13:E13">
      <formula1>"AM, RM, DM, CE, SI, SC, TP, TP_ALL"</formula1>
    </dataValidation>
    <dataValidation type="list" allowBlank="1" showInputMessage="1" showErrorMessage="1" sqref="B20:E20">
      <formula1>"ServiceZone,ManagementZone,nova"</formula1>
    </dataValidation>
  </dataValidations>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0"/>
  <sheetViews>
    <sheetView workbookViewId="0">
      <selection activeCell="H16" sqref="H16"/>
    </sheetView>
  </sheetViews>
  <sheetFormatPr defaultRowHeight="15" x14ac:dyDescent="0.25"/>
  <cols>
    <col min="1" max="1" width="14" customWidth="1"/>
  </cols>
  <sheetData>
    <row r="1" spans="1:1" x14ac:dyDescent="0.25">
      <c r="A1" s="67" t="s">
        <v>350</v>
      </c>
    </row>
    <row r="2" spans="1:1" x14ac:dyDescent="0.25">
      <c r="A2" s="18" t="s">
        <v>21</v>
      </c>
    </row>
    <row r="3" spans="1:1" x14ac:dyDescent="0.25">
      <c r="A3" s="18"/>
    </row>
    <row r="4" spans="1:1" x14ac:dyDescent="0.25">
      <c r="A4" s="18"/>
    </row>
    <row r="5" spans="1:1" x14ac:dyDescent="0.25">
      <c r="A5" s="18"/>
    </row>
    <row r="6" spans="1:1" x14ac:dyDescent="0.25">
      <c r="A6" s="18"/>
    </row>
    <row r="7" spans="1:1" x14ac:dyDescent="0.25">
      <c r="A7" s="18"/>
    </row>
    <row r="8" spans="1:1" x14ac:dyDescent="0.25">
      <c r="A8" s="18"/>
    </row>
    <row r="9" spans="1:1" x14ac:dyDescent="0.25">
      <c r="A9" s="18"/>
    </row>
    <row r="10" spans="1:1" x14ac:dyDescent="0.25">
      <c r="A10" s="18"/>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5" x14ac:dyDescent="0.2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zoomScaleNormal="100" workbookViewId="0">
      <selection activeCell="J4" sqref="A1:XFD1048576"/>
    </sheetView>
  </sheetViews>
  <sheetFormatPr defaultRowHeight="15" x14ac:dyDescent="0.25"/>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
  <sheetViews>
    <sheetView zoomScaleNormal="100" workbookViewId="0">
      <selection activeCell="M10" sqref="A1:XFD1048576"/>
    </sheetView>
  </sheetViews>
  <sheetFormatPr defaultRowHeight="15" x14ac:dyDescent="0.25"/>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zoomScaleNormal="100" workbookViewId="0">
      <selection activeCell="L7" sqref="A1:XFD1048576"/>
    </sheetView>
  </sheetViews>
  <sheetFormatPr defaultRowHeight="15" x14ac:dyDescent="0.25"/>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
  <sheetViews>
    <sheetView workbookViewId="0">
      <selection activeCell="M11" sqref="M11"/>
    </sheetView>
  </sheetViews>
  <sheetFormatPr defaultRowHeight="15" x14ac:dyDescent="0.25"/>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60"/>
  <sheetViews>
    <sheetView topLeftCell="A25" zoomScaleNormal="100" zoomScaleSheetLayoutView="100" workbookViewId="0">
      <selection activeCell="A35" sqref="A35"/>
    </sheetView>
  </sheetViews>
  <sheetFormatPr defaultRowHeight="15" x14ac:dyDescent="0.25"/>
  <cols>
    <col min="1" max="1" width="71.140625" bestFit="1" customWidth="1"/>
    <col min="2" max="2" width="111.85546875" bestFit="1" customWidth="1"/>
    <col min="3" max="3" width="22.7109375" customWidth="1"/>
    <col min="4" max="4" width="19" customWidth="1"/>
    <col min="5" max="5" width="35.5703125" customWidth="1"/>
    <col min="6" max="6" width="71.7109375" customWidth="1"/>
    <col min="7" max="7" width="31.42578125" customWidth="1"/>
    <col min="8" max="8" width="35.28515625" customWidth="1"/>
    <col min="9" max="9" width="23.140625" bestFit="1" customWidth="1"/>
    <col min="10" max="10" width="29.42578125" customWidth="1"/>
    <col min="11" max="11" width="20.28515625" bestFit="1" customWidth="1"/>
    <col min="12" max="12" width="19.5703125" bestFit="1" customWidth="1"/>
    <col min="13" max="13" width="14.7109375" customWidth="1"/>
    <col min="14" max="14" width="24.28515625" customWidth="1"/>
  </cols>
  <sheetData>
    <row r="1" spans="1:18" s="3" customFormat="1" ht="18.75" x14ac:dyDescent="0.3">
      <c r="A1" s="70" t="s">
        <v>0</v>
      </c>
      <c r="B1" s="70"/>
      <c r="C1" s="71" t="s">
        <v>1</v>
      </c>
      <c r="D1" s="70"/>
      <c r="E1" s="71" t="s">
        <v>2</v>
      </c>
      <c r="F1" s="71"/>
      <c r="G1" s="71" t="s">
        <v>47</v>
      </c>
      <c r="H1" s="71"/>
      <c r="I1" s="70" t="s">
        <v>48</v>
      </c>
      <c r="J1" s="70"/>
      <c r="K1" s="70" t="s">
        <v>423</v>
      </c>
      <c r="L1" s="70"/>
      <c r="M1" s="25"/>
      <c r="N1" s="25"/>
      <c r="O1" s="25"/>
      <c r="P1" s="25"/>
      <c r="Q1" s="25"/>
      <c r="R1" s="25"/>
    </row>
    <row r="2" spans="1:18" x14ac:dyDescent="0.25">
      <c r="A2" s="68" t="s">
        <v>3</v>
      </c>
      <c r="B2" s="69" t="s">
        <v>504</v>
      </c>
      <c r="C2" s="68" t="s">
        <v>5</v>
      </c>
      <c r="D2" s="69" t="b">
        <v>1</v>
      </c>
      <c r="E2" s="68" t="s">
        <v>6</v>
      </c>
      <c r="F2" s="69" t="s">
        <v>7</v>
      </c>
      <c r="G2" s="68" t="s">
        <v>49</v>
      </c>
      <c r="H2" s="69">
        <v>8008</v>
      </c>
      <c r="I2" s="68" t="s">
        <v>436</v>
      </c>
      <c r="J2" s="69" t="s">
        <v>664</v>
      </c>
      <c r="K2" s="35" t="s">
        <v>420</v>
      </c>
      <c r="L2" s="61" t="s">
        <v>649</v>
      </c>
      <c r="M2" s="68"/>
      <c r="N2" s="69"/>
      <c r="O2" s="68"/>
      <c r="P2" s="69"/>
      <c r="Q2" s="68"/>
      <c r="R2" s="69"/>
    </row>
    <row r="3" spans="1:18" x14ac:dyDescent="0.25">
      <c r="A3" s="35" t="s">
        <v>8</v>
      </c>
      <c r="B3" s="61" t="s">
        <v>170</v>
      </c>
      <c r="C3" s="35" t="s">
        <v>9</v>
      </c>
      <c r="D3" s="110" t="s">
        <v>663</v>
      </c>
      <c r="E3" s="35" t="s">
        <v>11</v>
      </c>
      <c r="F3" s="61" t="s">
        <v>12</v>
      </c>
      <c r="G3" s="35" t="s">
        <v>50</v>
      </c>
      <c r="H3" s="61" t="s">
        <v>12</v>
      </c>
      <c r="I3" s="35" t="s">
        <v>429</v>
      </c>
      <c r="J3" s="61" t="s">
        <v>665</v>
      </c>
      <c r="K3" s="35" t="s">
        <v>422</v>
      </c>
      <c r="L3" s="61" t="s">
        <v>650</v>
      </c>
      <c r="M3" s="35"/>
      <c r="N3" s="61"/>
      <c r="O3" s="35"/>
      <c r="P3" s="61"/>
      <c r="Q3" s="35"/>
      <c r="R3" s="61"/>
    </row>
    <row r="4" spans="1:18" x14ac:dyDescent="0.25">
      <c r="A4" s="35" t="s">
        <v>13</v>
      </c>
      <c r="B4" s="61" t="s">
        <v>14</v>
      </c>
      <c r="C4" s="35" t="s">
        <v>15</v>
      </c>
      <c r="D4" s="61" t="s">
        <v>647</v>
      </c>
      <c r="E4" s="35" t="s">
        <v>16</v>
      </c>
      <c r="F4" s="61" t="s">
        <v>17</v>
      </c>
      <c r="G4" s="35" t="s">
        <v>51</v>
      </c>
      <c r="H4" s="61" t="s">
        <v>24</v>
      </c>
      <c r="I4" s="35"/>
      <c r="J4" s="61"/>
      <c r="K4" s="35" t="s">
        <v>574</v>
      </c>
      <c r="L4" s="61" t="s">
        <v>542</v>
      </c>
      <c r="M4" s="35"/>
      <c r="N4" s="61"/>
      <c r="O4" s="35"/>
      <c r="P4" s="61"/>
      <c r="Q4" s="35"/>
      <c r="R4" s="61"/>
    </row>
    <row r="5" spans="1:18" x14ac:dyDescent="0.25">
      <c r="A5" s="35" t="s">
        <v>18</v>
      </c>
      <c r="B5" s="61">
        <v>5</v>
      </c>
      <c r="C5" s="35" t="s">
        <v>19</v>
      </c>
      <c r="D5" s="61">
        <v>2022</v>
      </c>
      <c r="E5" s="35" t="s">
        <v>20</v>
      </c>
      <c r="F5" s="61" t="s">
        <v>658</v>
      </c>
      <c r="G5" s="35" t="s">
        <v>52</v>
      </c>
      <c r="H5" s="61" t="s">
        <v>24</v>
      </c>
      <c r="I5" s="35"/>
      <c r="J5" s="61"/>
      <c r="K5" s="35" t="s">
        <v>421</v>
      </c>
      <c r="L5" s="61" t="s">
        <v>575</v>
      </c>
      <c r="M5" s="35"/>
      <c r="N5" s="61"/>
      <c r="O5" s="35"/>
      <c r="P5" s="61"/>
      <c r="Q5" s="35"/>
      <c r="R5" s="61"/>
    </row>
    <row r="6" spans="1:18" x14ac:dyDescent="0.25">
      <c r="A6" s="35" t="s">
        <v>22</v>
      </c>
      <c r="B6" s="61">
        <v>10</v>
      </c>
      <c r="C6" s="35" t="s">
        <v>23</v>
      </c>
      <c r="D6" s="61" t="s">
        <v>24</v>
      </c>
      <c r="E6" s="35" t="s">
        <v>25</v>
      </c>
      <c r="F6" s="61" t="s">
        <v>26</v>
      </c>
      <c r="G6" s="35"/>
      <c r="H6" s="61"/>
      <c r="I6" s="35"/>
      <c r="J6" s="61"/>
      <c r="K6" s="35"/>
      <c r="L6" s="61"/>
      <c r="M6" s="35"/>
      <c r="N6" s="61"/>
      <c r="O6" s="35"/>
      <c r="P6" s="61"/>
      <c r="Q6" s="35"/>
      <c r="R6" s="61"/>
    </row>
    <row r="7" spans="1:18" x14ac:dyDescent="0.25">
      <c r="A7" s="35" t="s">
        <v>27</v>
      </c>
      <c r="B7" s="61" t="s">
        <v>28</v>
      </c>
      <c r="C7" s="35" t="s">
        <v>29</v>
      </c>
      <c r="D7" s="61" t="s">
        <v>24</v>
      </c>
      <c r="E7" s="35" t="s">
        <v>30</v>
      </c>
      <c r="F7" s="61" t="s">
        <v>31</v>
      </c>
      <c r="G7" s="35"/>
      <c r="H7" s="61"/>
      <c r="I7" s="35"/>
      <c r="J7" s="61"/>
      <c r="K7" s="35"/>
      <c r="L7" s="61"/>
      <c r="M7" s="35"/>
      <c r="N7" s="61"/>
      <c r="O7" s="35"/>
      <c r="P7" s="61"/>
      <c r="Q7" s="35"/>
      <c r="R7" s="61"/>
    </row>
    <row r="8" spans="1:18" x14ac:dyDescent="0.25">
      <c r="A8" s="35" t="s">
        <v>427</v>
      </c>
      <c r="B8" s="61" t="s">
        <v>657</v>
      </c>
      <c r="C8" s="35" t="s">
        <v>33</v>
      </c>
      <c r="D8" s="110"/>
      <c r="E8" s="35" t="s">
        <v>34</v>
      </c>
      <c r="F8" s="61" t="s">
        <v>662</v>
      </c>
      <c r="G8" s="35"/>
      <c r="H8" s="61"/>
      <c r="I8" s="35"/>
      <c r="J8" s="61"/>
      <c r="K8" s="35"/>
      <c r="L8" s="61"/>
      <c r="M8" s="35"/>
      <c r="N8" s="61"/>
      <c r="O8" s="35"/>
      <c r="P8" s="61"/>
      <c r="Q8" s="35"/>
      <c r="R8" s="61"/>
    </row>
    <row r="9" spans="1:18" x14ac:dyDescent="0.25">
      <c r="A9" s="35" t="s">
        <v>32</v>
      </c>
      <c r="B9" s="61" t="str">
        <f>"https://"&amp;B8&amp;":18080"</f>
        <v>https://10.10.233.69:18080</v>
      </c>
      <c r="C9" s="35" t="s">
        <v>35</v>
      </c>
      <c r="D9" s="61"/>
      <c r="E9" s="35" t="s">
        <v>36</v>
      </c>
      <c r="F9" s="61" t="s">
        <v>661</v>
      </c>
      <c r="G9" s="35"/>
      <c r="H9" s="61"/>
      <c r="I9" s="35"/>
      <c r="J9" s="61"/>
      <c r="K9" s="35"/>
      <c r="L9" s="61"/>
      <c r="M9" s="35"/>
      <c r="N9" s="61"/>
      <c r="O9" s="35"/>
      <c r="P9" s="61"/>
      <c r="Q9" s="35"/>
      <c r="R9" s="61"/>
    </row>
    <row r="10" spans="1:18" x14ac:dyDescent="0.25">
      <c r="A10" s="35" t="s">
        <v>346</v>
      </c>
      <c r="B10" s="61" t="s">
        <v>4</v>
      </c>
      <c r="C10" s="35" t="s">
        <v>37</v>
      </c>
      <c r="D10" s="61"/>
      <c r="E10" s="35" t="s">
        <v>38</v>
      </c>
      <c r="F10" s="61" t="s">
        <v>660</v>
      </c>
      <c r="G10" s="35"/>
      <c r="H10" s="61"/>
      <c r="I10" s="35"/>
      <c r="J10" s="61"/>
      <c r="K10" s="35"/>
      <c r="L10" s="61"/>
      <c r="M10" s="35"/>
      <c r="N10" s="61"/>
      <c r="O10" s="35"/>
      <c r="P10" s="61"/>
      <c r="Q10" s="35"/>
      <c r="R10" s="61"/>
    </row>
    <row r="11" spans="1:18" x14ac:dyDescent="0.25">
      <c r="A11" s="35" t="s">
        <v>345</v>
      </c>
      <c r="B11" s="61" t="s">
        <v>170</v>
      </c>
      <c r="C11" s="35" t="s">
        <v>39</v>
      </c>
      <c r="D11" s="61"/>
      <c r="E11" s="35" t="s">
        <v>40</v>
      </c>
      <c r="F11" s="61" t="s">
        <v>660</v>
      </c>
      <c r="G11" s="35"/>
      <c r="H11" s="61"/>
      <c r="I11" s="35"/>
      <c r="J11" s="61"/>
      <c r="K11" s="35"/>
      <c r="L11" s="61"/>
      <c r="M11" s="35"/>
      <c r="N11" s="61"/>
      <c r="O11" s="35"/>
      <c r="P11" s="61"/>
      <c r="Q11" s="35"/>
      <c r="R11" s="61"/>
    </row>
    <row r="12" spans="1:18" x14ac:dyDescent="0.25">
      <c r="A12" s="35" t="s">
        <v>351</v>
      </c>
      <c r="B12" s="61">
        <v>60</v>
      </c>
      <c r="C12" s="35" t="s">
        <v>42</v>
      </c>
      <c r="D12" s="61"/>
      <c r="E12" s="35" t="s">
        <v>43</v>
      </c>
      <c r="F12" s="61" t="s">
        <v>660</v>
      </c>
      <c r="G12" s="35"/>
      <c r="H12" s="61"/>
      <c r="I12" s="35"/>
      <c r="J12" s="61"/>
      <c r="K12" s="35"/>
      <c r="L12" s="61"/>
      <c r="M12" s="35"/>
      <c r="N12" s="61"/>
      <c r="O12" s="35"/>
      <c r="P12" s="61"/>
      <c r="Q12" s="35"/>
      <c r="R12" s="61"/>
    </row>
    <row r="13" spans="1:18" x14ac:dyDescent="0.25">
      <c r="A13" s="35" t="s">
        <v>352</v>
      </c>
      <c r="B13" s="61">
        <v>5</v>
      </c>
      <c r="C13" s="35"/>
      <c r="D13" s="61"/>
      <c r="E13" s="35" t="s">
        <v>44</v>
      </c>
      <c r="F13" s="61" t="s">
        <v>408</v>
      </c>
      <c r="G13" s="35"/>
      <c r="H13" s="61"/>
      <c r="I13" s="35"/>
      <c r="J13" s="61"/>
      <c r="K13" s="35"/>
      <c r="L13" s="61"/>
      <c r="M13" s="35"/>
      <c r="N13" s="61"/>
      <c r="O13" s="35"/>
      <c r="P13" s="61"/>
      <c r="Q13" s="35"/>
      <c r="R13" s="61"/>
    </row>
    <row r="14" spans="1:18" x14ac:dyDescent="0.25">
      <c r="A14" s="35" t="s">
        <v>353</v>
      </c>
      <c r="B14" s="61">
        <v>15</v>
      </c>
      <c r="C14" s="35"/>
      <c r="D14" s="61"/>
      <c r="E14" s="35" t="s">
        <v>45</v>
      </c>
      <c r="F14" s="61">
        <v>5000</v>
      </c>
      <c r="G14" s="35"/>
      <c r="H14" s="61"/>
      <c r="I14" s="35"/>
      <c r="J14" s="61"/>
      <c r="K14" s="35"/>
      <c r="L14" s="61"/>
      <c r="M14" s="35"/>
      <c r="N14" s="61"/>
      <c r="O14" s="35"/>
      <c r="P14" s="61"/>
      <c r="Q14" s="35"/>
      <c r="R14" s="61"/>
    </row>
    <row r="15" spans="1:18" s="1" customFormat="1" x14ac:dyDescent="0.25">
      <c r="A15" s="35" t="s">
        <v>428</v>
      </c>
      <c r="B15" s="61" t="str">
        <f>"https://"&amp;B8&amp;":9000"</f>
        <v>https://10.10.233.69:9000</v>
      </c>
      <c r="C15" s="35"/>
      <c r="D15" s="61"/>
      <c r="E15" s="35" t="s">
        <v>46</v>
      </c>
      <c r="F15" s="61"/>
      <c r="G15" s="35"/>
      <c r="H15" s="61"/>
      <c r="I15" s="35"/>
      <c r="J15" s="61"/>
      <c r="K15" s="35"/>
      <c r="L15" s="61"/>
      <c r="M15" s="35"/>
      <c r="N15" s="61"/>
      <c r="O15" s="35"/>
      <c r="P15" s="61"/>
      <c r="Q15" s="35"/>
      <c r="R15" s="61"/>
    </row>
    <row r="16" spans="1:18" s="1" customFormat="1" x14ac:dyDescent="0.25">
      <c r="A16" s="35" t="s">
        <v>53</v>
      </c>
      <c r="B16" s="78" t="s">
        <v>432</v>
      </c>
      <c r="C16" s="35"/>
      <c r="D16" s="61"/>
      <c r="E16" s="35" t="s">
        <v>619</v>
      </c>
      <c r="F16" s="61" t="s">
        <v>4</v>
      </c>
      <c r="G16" s="35"/>
      <c r="H16" s="61"/>
      <c r="I16" s="35"/>
      <c r="J16" s="61"/>
      <c r="K16" s="35"/>
      <c r="L16" s="61"/>
      <c r="M16" s="35"/>
      <c r="N16" s="61"/>
      <c r="O16" s="35"/>
      <c r="P16" s="61"/>
      <c r="Q16" s="35"/>
      <c r="R16" s="61"/>
    </row>
    <row r="17" spans="1:18" s="1" customFormat="1" x14ac:dyDescent="0.25">
      <c r="A17" s="35" t="s">
        <v>463</v>
      </c>
      <c r="B17" s="61" t="s">
        <v>24</v>
      </c>
      <c r="C17" s="35"/>
      <c r="D17" s="61"/>
      <c r="E17" s="35" t="s">
        <v>620</v>
      </c>
      <c r="F17" s="61" t="s">
        <v>170</v>
      </c>
      <c r="G17" s="35"/>
      <c r="H17" s="61"/>
      <c r="I17" s="35"/>
      <c r="J17" s="61"/>
      <c r="K17" s="35"/>
      <c r="L17" s="61"/>
      <c r="M17" s="35"/>
      <c r="N17" s="61"/>
      <c r="O17" s="35"/>
      <c r="P17" s="61"/>
      <c r="Q17" s="35"/>
      <c r="R17" s="61"/>
    </row>
    <row r="18" spans="1:18" s="1" customFormat="1" x14ac:dyDescent="0.25">
      <c r="A18" s="35" t="s">
        <v>464</v>
      </c>
      <c r="B18" s="61" t="s">
        <v>24</v>
      </c>
      <c r="C18" s="35"/>
      <c r="D18" s="61"/>
      <c r="E18" s="35" t="s">
        <v>621</v>
      </c>
      <c r="F18" s="61" t="s">
        <v>659</v>
      </c>
      <c r="G18" s="35"/>
      <c r="H18" s="61"/>
      <c r="I18" s="35"/>
      <c r="J18" s="61"/>
      <c r="K18" s="35"/>
      <c r="L18" s="61"/>
      <c r="M18" s="35"/>
      <c r="N18" s="61"/>
      <c r="O18" s="35"/>
      <c r="P18" s="61"/>
      <c r="Q18" s="35"/>
      <c r="R18" s="61"/>
    </row>
    <row r="19" spans="1:18" s="1" customFormat="1" x14ac:dyDescent="0.25">
      <c r="A19" s="35"/>
      <c r="B19" s="61"/>
      <c r="C19" s="35"/>
      <c r="D19" s="61"/>
      <c r="E19" s="35" t="s">
        <v>622</v>
      </c>
      <c r="F19" s="61" t="s">
        <v>658</v>
      </c>
      <c r="G19" s="35"/>
      <c r="H19" s="61"/>
      <c r="I19" s="35"/>
      <c r="J19" s="61"/>
      <c r="K19" s="35"/>
      <c r="L19" s="61"/>
      <c r="M19" s="35"/>
      <c r="N19" s="61"/>
      <c r="O19" s="35"/>
      <c r="P19" s="61"/>
      <c r="Q19" s="35"/>
      <c r="R19" s="61"/>
    </row>
    <row r="20" spans="1:18" s="1" customFormat="1" x14ac:dyDescent="0.25">
      <c r="A20" s="35"/>
      <c r="B20" s="61"/>
      <c r="C20" s="35"/>
      <c r="D20" s="61"/>
      <c r="E20" s="35"/>
      <c r="F20" s="61"/>
      <c r="G20" s="35"/>
      <c r="H20" s="61"/>
      <c r="I20" s="35"/>
      <c r="J20" s="61"/>
      <c r="K20" s="35"/>
      <c r="L20" s="61"/>
      <c r="M20" s="35"/>
      <c r="N20" s="61"/>
      <c r="O20" s="35"/>
      <c r="P20" s="61"/>
      <c r="Q20" s="35"/>
      <c r="R20" s="61"/>
    </row>
    <row r="21" spans="1:18" s="1" customFormat="1" x14ac:dyDescent="0.25">
      <c r="A21" s="35"/>
      <c r="B21" s="61"/>
      <c r="C21" s="35"/>
      <c r="D21" s="61"/>
      <c r="E21" s="35"/>
      <c r="F21" s="61"/>
      <c r="G21" s="35"/>
      <c r="H21" s="61"/>
      <c r="I21" s="35"/>
      <c r="J21" s="61"/>
      <c r="K21" s="35"/>
      <c r="L21" s="61"/>
      <c r="M21" s="35"/>
      <c r="N21" s="61"/>
      <c r="O21" s="35"/>
      <c r="P21" s="61"/>
      <c r="Q21" s="35"/>
      <c r="R21" s="61"/>
    </row>
    <row r="22" spans="1:18" s="1" customFormat="1" ht="15.75" thickBot="1" x14ac:dyDescent="0.3">
      <c r="A22" s="35"/>
      <c r="B22" s="61"/>
      <c r="C22" s="35"/>
      <c r="D22" s="61"/>
      <c r="E22" s="35"/>
      <c r="F22" s="61"/>
      <c r="G22" s="35"/>
      <c r="H22" s="61"/>
      <c r="I22" s="35"/>
      <c r="J22" s="61"/>
      <c r="K22" s="35"/>
      <c r="L22" s="61"/>
      <c r="M22" s="35"/>
      <c r="N22" s="61"/>
      <c r="O22" s="35"/>
      <c r="P22" s="61"/>
      <c r="Q22" s="35"/>
      <c r="R22" s="61"/>
    </row>
    <row r="23" spans="1:18" s="125" customFormat="1" ht="19.5" thickBot="1" x14ac:dyDescent="0.35">
      <c r="B23" s="126"/>
      <c r="C23" s="126"/>
      <c r="D23" s="126"/>
      <c r="E23" s="126"/>
      <c r="F23" s="126"/>
      <c r="G23" s="126"/>
      <c r="H23" s="126"/>
      <c r="I23" s="126"/>
      <c r="J23" s="126"/>
      <c r="K23" s="126"/>
      <c r="L23" s="126"/>
      <c r="M23" s="126"/>
      <c r="N23" s="126"/>
      <c r="O23" s="126"/>
      <c r="P23" s="126"/>
      <c r="Q23" s="126"/>
      <c r="R23" s="126"/>
    </row>
    <row r="24" spans="1:18" s="3" customFormat="1" ht="18.75" x14ac:dyDescent="0.3">
      <c r="A24" s="105" t="s">
        <v>54</v>
      </c>
      <c r="B24" s="105" t="s">
        <v>524</v>
      </c>
      <c r="C24" s="105" t="s">
        <v>523</v>
      </c>
      <c r="D24" s="105" t="s">
        <v>525</v>
      </c>
      <c r="E24" s="105"/>
      <c r="F24" s="105"/>
      <c r="G24" s="105"/>
      <c r="H24" s="105"/>
      <c r="I24" s="105"/>
      <c r="J24" s="105"/>
      <c r="K24" s="105"/>
      <c r="L24" s="105"/>
      <c r="M24" s="105"/>
      <c r="N24" s="105"/>
      <c r="O24" s="105"/>
      <c r="P24" s="105"/>
      <c r="Q24" s="105"/>
      <c r="R24" s="105"/>
    </row>
    <row r="25" spans="1:18" x14ac:dyDescent="0.25">
      <c r="A25" s="35" t="s">
        <v>666</v>
      </c>
      <c r="B25" s="35" t="s">
        <v>355</v>
      </c>
      <c r="C25" s="35" t="s">
        <v>640</v>
      </c>
      <c r="D25" s="35">
        <v>10</v>
      </c>
      <c r="E25" s="35"/>
      <c r="F25" s="35"/>
      <c r="G25" s="35"/>
      <c r="H25" s="35"/>
      <c r="I25" s="35"/>
      <c r="J25" s="35"/>
      <c r="K25" s="35"/>
      <c r="L25" s="35"/>
      <c r="M25" s="35"/>
      <c r="N25" s="35"/>
      <c r="O25" s="35"/>
      <c r="P25" s="35"/>
      <c r="Q25" s="35"/>
      <c r="R25" s="35"/>
    </row>
    <row r="26" spans="1:18" x14ac:dyDescent="0.25">
      <c r="A26" s="35"/>
      <c r="B26" s="35" t="s">
        <v>641</v>
      </c>
      <c r="C26" s="35" t="s">
        <v>642</v>
      </c>
      <c r="D26" s="35">
        <v>20</v>
      </c>
      <c r="E26" s="35"/>
      <c r="F26" s="35"/>
      <c r="G26" s="35"/>
      <c r="H26" s="35"/>
      <c r="I26" s="35"/>
      <c r="J26" s="35"/>
      <c r="K26" s="35"/>
      <c r="L26" s="35"/>
      <c r="M26" s="35"/>
      <c r="N26" s="35"/>
      <c r="O26" s="35"/>
      <c r="P26" s="35"/>
      <c r="Q26" s="35"/>
      <c r="R26" s="35"/>
    </row>
    <row r="27" spans="1:18" x14ac:dyDescent="0.25">
      <c r="A27" s="35"/>
      <c r="B27" s="35"/>
      <c r="C27" s="35"/>
      <c r="D27" s="35"/>
      <c r="E27" s="35"/>
      <c r="F27" s="35"/>
      <c r="G27" s="35"/>
      <c r="H27" s="35"/>
      <c r="I27" s="35"/>
      <c r="J27" s="35"/>
      <c r="K27" s="35"/>
      <c r="L27" s="35"/>
      <c r="M27" s="35"/>
      <c r="N27" s="35"/>
      <c r="O27" s="35"/>
      <c r="P27" s="35"/>
      <c r="Q27" s="35"/>
      <c r="R27" s="35"/>
    </row>
    <row r="28" spans="1:18" x14ac:dyDescent="0.25">
      <c r="A28" s="35"/>
      <c r="B28" s="35"/>
      <c r="C28" s="35"/>
      <c r="D28" s="35"/>
      <c r="E28" s="35"/>
      <c r="F28" s="35"/>
      <c r="G28" s="35"/>
      <c r="H28" s="35"/>
      <c r="I28" s="35"/>
      <c r="J28" s="35"/>
      <c r="K28" s="35"/>
      <c r="L28" s="35"/>
      <c r="M28" s="35"/>
      <c r="N28" s="35"/>
      <c r="O28" s="35"/>
      <c r="P28" s="35"/>
      <c r="Q28" s="35"/>
      <c r="R28" s="35"/>
    </row>
    <row r="29" spans="1:18" x14ac:dyDescent="0.25">
      <c r="A29" s="35"/>
      <c r="B29" s="35"/>
      <c r="C29" s="35"/>
      <c r="D29" s="35"/>
      <c r="E29" s="35"/>
      <c r="F29" s="35"/>
      <c r="G29" s="35"/>
      <c r="H29" s="35"/>
      <c r="I29" s="35"/>
      <c r="J29" s="35"/>
      <c r="K29" s="35"/>
      <c r="L29" s="35"/>
      <c r="M29" s="35"/>
      <c r="N29" s="35"/>
      <c r="O29" s="35"/>
      <c r="P29" s="35"/>
      <c r="Q29" s="35"/>
      <c r="R29" s="35"/>
    </row>
    <row r="30" spans="1:18" x14ac:dyDescent="0.25">
      <c r="A30" s="35"/>
      <c r="B30" s="35"/>
      <c r="C30" s="35"/>
      <c r="D30" s="35"/>
      <c r="E30" s="35"/>
      <c r="F30" s="35"/>
      <c r="G30" s="35"/>
      <c r="H30" s="35"/>
      <c r="I30" s="35"/>
      <c r="J30" s="35"/>
      <c r="K30" s="35"/>
      <c r="L30" s="35"/>
      <c r="M30" s="35"/>
      <c r="N30" s="35"/>
      <c r="O30" s="35"/>
      <c r="P30" s="35"/>
      <c r="Q30" s="35"/>
      <c r="R30" s="35"/>
    </row>
    <row r="31" spans="1:18" ht="15.75" thickBot="1" x14ac:dyDescent="0.3">
      <c r="A31" s="35"/>
      <c r="B31" s="35"/>
      <c r="C31" s="35"/>
      <c r="D31" s="35"/>
      <c r="E31" s="35"/>
      <c r="F31" s="35"/>
      <c r="G31" s="35"/>
      <c r="H31" s="35"/>
      <c r="I31" s="35"/>
      <c r="J31" s="35"/>
      <c r="K31" s="35"/>
      <c r="L31" s="35"/>
      <c r="M31" s="35"/>
      <c r="N31" s="35"/>
      <c r="O31" s="35"/>
      <c r="P31" s="35"/>
      <c r="Q31" s="35"/>
      <c r="R31" s="35"/>
    </row>
    <row r="32" spans="1:18" s="123" customFormat="1" ht="19.5" thickBot="1" x14ac:dyDescent="0.35">
      <c r="A32" s="121"/>
      <c r="B32" s="122"/>
    </row>
    <row r="33" spans="1:18" s="3" customFormat="1" ht="18.75" x14ac:dyDescent="0.3">
      <c r="A33" s="70" t="s">
        <v>55</v>
      </c>
      <c r="B33" s="70"/>
      <c r="C33" s="70" t="s">
        <v>565</v>
      </c>
      <c r="D33" s="70"/>
      <c r="E33" s="70" t="s">
        <v>58</v>
      </c>
      <c r="F33" s="70"/>
      <c r="G33" s="70" t="s">
        <v>60</v>
      </c>
      <c r="H33" s="70"/>
      <c r="I33" s="70" t="s">
        <v>424</v>
      </c>
      <c r="J33" s="70"/>
      <c r="K33" s="70"/>
      <c r="L33" s="70"/>
      <c r="M33" s="70"/>
      <c r="N33" s="70"/>
      <c r="O33" s="70"/>
      <c r="P33" s="70"/>
      <c r="Q33" s="70"/>
      <c r="R33" s="70"/>
    </row>
    <row r="34" spans="1:18" x14ac:dyDescent="0.25">
      <c r="A34" s="72" t="s">
        <v>56</v>
      </c>
      <c r="B34" s="72" t="s">
        <v>57</v>
      </c>
      <c r="C34" s="72" t="s">
        <v>56</v>
      </c>
      <c r="D34" s="72" t="s">
        <v>566</v>
      </c>
      <c r="E34" s="72" t="s">
        <v>56</v>
      </c>
      <c r="F34" s="72" t="s">
        <v>59</v>
      </c>
      <c r="G34" s="72" t="s">
        <v>56</v>
      </c>
      <c r="H34" s="72" t="s">
        <v>59</v>
      </c>
      <c r="I34" s="72"/>
      <c r="J34" s="72"/>
      <c r="K34" s="72"/>
      <c r="L34" s="72"/>
      <c r="M34" s="72"/>
      <c r="N34" s="72"/>
      <c r="O34" s="72"/>
      <c r="P34" s="72"/>
      <c r="Q34" s="72"/>
      <c r="R34" s="72"/>
    </row>
    <row r="35" spans="1:18" x14ac:dyDescent="0.25">
      <c r="A35" s="35" t="s">
        <v>684</v>
      </c>
      <c r="B35" s="109" t="s">
        <v>676</v>
      </c>
      <c r="C35" s="35" t="s">
        <v>684</v>
      </c>
      <c r="D35" s="61"/>
      <c r="E35" s="35" t="s">
        <v>670</v>
      </c>
      <c r="F35" s="61" t="s">
        <v>693</v>
      </c>
      <c r="G35" s="35" t="s">
        <v>670</v>
      </c>
      <c r="H35" s="61" t="s">
        <v>701</v>
      </c>
      <c r="I35" s="35" t="s">
        <v>569</v>
      </c>
      <c r="J35" s="61"/>
      <c r="K35" s="35"/>
      <c r="L35" s="61"/>
      <c r="M35" s="35"/>
      <c r="N35" s="61"/>
      <c r="O35" s="35"/>
      <c r="P35" s="61"/>
      <c r="Q35" s="35"/>
      <c r="R35" s="61"/>
    </row>
    <row r="36" spans="1:18" x14ac:dyDescent="0.25">
      <c r="A36" s="35" t="s">
        <v>685</v>
      </c>
      <c r="B36" s="109" t="s">
        <v>677</v>
      </c>
      <c r="C36" s="35" t="s">
        <v>685</v>
      </c>
      <c r="D36" s="61"/>
      <c r="E36" s="35" t="s">
        <v>671</v>
      </c>
      <c r="F36" s="61" t="s">
        <v>694</v>
      </c>
      <c r="G36" s="35" t="s">
        <v>671</v>
      </c>
      <c r="H36" s="61" t="s">
        <v>702</v>
      </c>
      <c r="I36" s="35" t="s">
        <v>425</v>
      </c>
      <c r="J36" s="61" t="s">
        <v>568</v>
      </c>
      <c r="K36" s="35"/>
      <c r="L36" s="61"/>
      <c r="M36" s="35"/>
      <c r="N36" s="61"/>
      <c r="O36" s="35"/>
      <c r="P36" s="61"/>
      <c r="Q36" s="35"/>
      <c r="R36" s="61"/>
    </row>
    <row r="37" spans="1:18" x14ac:dyDescent="0.25">
      <c r="A37" s="35" t="s">
        <v>686</v>
      </c>
      <c r="B37" s="109" t="s">
        <v>678</v>
      </c>
      <c r="C37" s="35" t="s">
        <v>686</v>
      </c>
      <c r="D37" s="61"/>
      <c r="E37" s="35" t="s">
        <v>672</v>
      </c>
      <c r="F37" s="61" t="s">
        <v>695</v>
      </c>
      <c r="G37" s="35" t="s">
        <v>672</v>
      </c>
      <c r="H37" s="61" t="s">
        <v>703</v>
      </c>
      <c r="I37" s="35" t="s">
        <v>426</v>
      </c>
      <c r="J37" s="61" t="s">
        <v>572</v>
      </c>
      <c r="K37" s="35"/>
      <c r="L37" s="61"/>
      <c r="M37" s="35"/>
      <c r="N37" s="61"/>
      <c r="O37" s="35"/>
      <c r="P37" s="61"/>
      <c r="Q37" s="35"/>
      <c r="R37" s="61"/>
    </row>
    <row r="38" spans="1:18" x14ac:dyDescent="0.25">
      <c r="A38" s="35" t="s">
        <v>687</v>
      </c>
      <c r="B38" s="109" t="s">
        <v>679</v>
      </c>
      <c r="C38" s="35" t="s">
        <v>687</v>
      </c>
      <c r="D38" s="61"/>
      <c r="E38" s="35" t="s">
        <v>667</v>
      </c>
      <c r="F38" s="61" t="s">
        <v>696</v>
      </c>
      <c r="G38" s="35" t="s">
        <v>667</v>
      </c>
      <c r="H38" s="61" t="s">
        <v>704</v>
      </c>
      <c r="I38" s="35" t="s">
        <v>496</v>
      </c>
      <c r="J38" s="36" t="s">
        <v>570</v>
      </c>
      <c r="K38" s="35"/>
      <c r="L38" s="36"/>
      <c r="M38" s="35"/>
      <c r="N38" s="36"/>
      <c r="O38" s="35"/>
      <c r="P38" s="36"/>
      <c r="Q38" s="35"/>
      <c r="R38" s="36"/>
    </row>
    <row r="39" spans="1:18" x14ac:dyDescent="0.25">
      <c r="A39" s="35" t="s">
        <v>688</v>
      </c>
      <c r="B39" s="109" t="s">
        <v>680</v>
      </c>
      <c r="C39" s="35" t="s">
        <v>688</v>
      </c>
      <c r="D39" s="61"/>
      <c r="E39" s="35" t="s">
        <v>673</v>
      </c>
      <c r="F39" s="61" t="s">
        <v>697</v>
      </c>
      <c r="G39" s="35" t="s">
        <v>673</v>
      </c>
      <c r="H39" s="61" t="s">
        <v>705</v>
      </c>
      <c r="I39" s="35" t="s">
        <v>497</v>
      </c>
      <c r="J39" s="109" t="s">
        <v>567</v>
      </c>
      <c r="K39" s="35"/>
      <c r="L39" s="109"/>
      <c r="M39" s="35"/>
      <c r="N39" s="109"/>
      <c r="O39" s="35"/>
      <c r="P39" s="109"/>
      <c r="Q39" s="35"/>
      <c r="R39" s="109"/>
    </row>
    <row r="40" spans="1:18" x14ac:dyDescent="0.25">
      <c r="A40" s="35" t="s">
        <v>689</v>
      </c>
      <c r="B40" s="109" t="s">
        <v>681</v>
      </c>
      <c r="C40" s="35" t="s">
        <v>689</v>
      </c>
      <c r="D40" s="61"/>
      <c r="E40" s="35" t="s">
        <v>674</v>
      </c>
      <c r="F40" s="61" t="s">
        <v>698</v>
      </c>
      <c r="G40" s="35" t="s">
        <v>674</v>
      </c>
      <c r="H40" s="61" t="s">
        <v>706</v>
      </c>
      <c r="I40" s="35" t="s">
        <v>573</v>
      </c>
      <c r="J40" s="61" t="s">
        <v>571</v>
      </c>
      <c r="K40" s="35"/>
      <c r="L40" s="61"/>
      <c r="M40" s="35"/>
      <c r="N40" s="61"/>
      <c r="O40" s="35"/>
      <c r="P40" s="61"/>
      <c r="Q40" s="35"/>
      <c r="R40" s="61"/>
    </row>
    <row r="41" spans="1:18" x14ac:dyDescent="0.25">
      <c r="A41" s="35" t="s">
        <v>690</v>
      </c>
      <c r="B41" s="109" t="s">
        <v>682</v>
      </c>
      <c r="C41" s="35" t="s">
        <v>690</v>
      </c>
      <c r="D41" s="61"/>
      <c r="E41" s="35" t="s">
        <v>668</v>
      </c>
      <c r="F41" s="61" t="s">
        <v>699</v>
      </c>
      <c r="G41" s="35" t="s">
        <v>668</v>
      </c>
      <c r="H41" s="61" t="s">
        <v>707</v>
      </c>
      <c r="I41" s="35" t="s">
        <v>576</v>
      </c>
      <c r="J41" s="61" t="s">
        <v>579</v>
      </c>
      <c r="K41" s="35"/>
      <c r="L41" s="61"/>
      <c r="M41" s="35"/>
      <c r="N41" s="61"/>
      <c r="O41" s="35"/>
      <c r="P41" s="61"/>
      <c r="Q41" s="35"/>
      <c r="R41" s="61"/>
    </row>
    <row r="42" spans="1:18" x14ac:dyDescent="0.25">
      <c r="A42" s="35" t="s">
        <v>691</v>
      </c>
      <c r="B42" s="109" t="s">
        <v>683</v>
      </c>
      <c r="C42" s="35" t="s">
        <v>691</v>
      </c>
      <c r="D42" s="61"/>
      <c r="E42" s="35" t="s">
        <v>669</v>
      </c>
      <c r="F42" s="61" t="s">
        <v>700</v>
      </c>
      <c r="G42" s="35" t="s">
        <v>669</v>
      </c>
      <c r="H42" s="61" t="s">
        <v>708</v>
      </c>
      <c r="I42" s="35" t="s">
        <v>577</v>
      </c>
      <c r="J42" s="61" t="s">
        <v>578</v>
      </c>
      <c r="K42" s="35"/>
      <c r="L42" s="61"/>
      <c r="M42" s="35"/>
      <c r="N42" s="61"/>
      <c r="O42" s="35"/>
      <c r="P42" s="61"/>
      <c r="Q42" s="35"/>
      <c r="R42" s="61"/>
    </row>
    <row r="43" spans="1:18" x14ac:dyDescent="0.25">
      <c r="A43" s="35" t="s">
        <v>692</v>
      </c>
      <c r="B43" s="109" t="s">
        <v>677</v>
      </c>
      <c r="C43" s="35" t="s">
        <v>692</v>
      </c>
      <c r="D43" s="61"/>
      <c r="E43" s="35" t="s">
        <v>675</v>
      </c>
      <c r="F43" s="61" t="s">
        <v>694</v>
      </c>
      <c r="G43" s="35" t="s">
        <v>675</v>
      </c>
      <c r="H43" s="61" t="s">
        <v>709</v>
      </c>
      <c r="I43" s="35"/>
      <c r="J43" s="61"/>
      <c r="K43" s="35"/>
      <c r="L43" s="61"/>
      <c r="M43" s="35"/>
      <c r="N43" s="61"/>
      <c r="O43" s="35"/>
      <c r="P43" s="61"/>
      <c r="Q43" s="35"/>
      <c r="R43" s="61"/>
    </row>
    <row r="44" spans="1:18" x14ac:dyDescent="0.25">
      <c r="A44" s="35"/>
      <c r="B44" s="61"/>
      <c r="C44" s="35"/>
      <c r="D44" s="61"/>
      <c r="E44" s="35"/>
      <c r="F44" s="61"/>
      <c r="G44" s="35"/>
      <c r="H44" s="61"/>
      <c r="I44" s="35"/>
      <c r="J44" s="61"/>
      <c r="K44" s="35"/>
      <c r="L44" s="61"/>
      <c r="M44" s="35"/>
      <c r="N44" s="61"/>
      <c r="O44" s="35"/>
      <c r="P44" s="61"/>
      <c r="Q44" s="35"/>
      <c r="R44" s="61"/>
    </row>
    <row r="45" spans="1:18" x14ac:dyDescent="0.25">
      <c r="A45" s="35"/>
      <c r="B45" s="61"/>
      <c r="C45" s="35"/>
      <c r="D45" s="61"/>
      <c r="E45" s="35"/>
      <c r="F45" s="61"/>
      <c r="G45" s="35"/>
      <c r="H45" s="61"/>
      <c r="I45" s="35"/>
      <c r="J45" s="61"/>
      <c r="K45" s="35"/>
      <c r="L45" s="61"/>
      <c r="M45" s="35"/>
      <c r="N45" s="61"/>
      <c r="O45" s="35"/>
      <c r="P45" s="61"/>
      <c r="Q45" s="35"/>
      <c r="R45" s="61"/>
    </row>
    <row r="46" spans="1:18" x14ac:dyDescent="0.25">
      <c r="A46" s="35"/>
      <c r="B46" s="61"/>
      <c r="C46" s="35"/>
      <c r="D46" s="61"/>
      <c r="E46" s="35"/>
      <c r="F46" s="61"/>
      <c r="G46" s="35"/>
      <c r="H46" s="61"/>
      <c r="I46" s="35"/>
      <c r="J46" s="36"/>
      <c r="K46" s="35"/>
      <c r="L46" s="36"/>
      <c r="M46" s="35"/>
      <c r="N46" s="36"/>
      <c r="O46" s="35"/>
      <c r="P46" s="36"/>
      <c r="Q46" s="35"/>
      <c r="R46" s="36"/>
    </row>
    <row r="47" spans="1:18" ht="15.75" thickBot="1" x14ac:dyDescent="0.3">
      <c r="A47" s="35"/>
      <c r="B47" s="61"/>
      <c r="C47" s="35"/>
      <c r="D47" s="61"/>
      <c r="E47" s="35"/>
      <c r="F47" s="61"/>
      <c r="G47" s="35"/>
      <c r="H47" s="61"/>
      <c r="I47" s="35"/>
      <c r="J47" s="109"/>
      <c r="K47" s="35"/>
      <c r="L47" s="109"/>
      <c r="M47" s="35"/>
      <c r="N47" s="109"/>
      <c r="O47" s="35"/>
      <c r="P47" s="109"/>
      <c r="Q47" s="35"/>
      <c r="R47" s="109"/>
    </row>
    <row r="48" spans="1:18" s="123" customFormat="1" ht="19.5" thickBot="1" x14ac:dyDescent="0.35">
      <c r="A48" s="124"/>
    </row>
    <row r="59" spans="1:1" x14ac:dyDescent="0.25">
      <c r="A59" s="2"/>
    </row>
    <row r="60" spans="1:1" x14ac:dyDescent="0.25">
      <c r="A60" s="2"/>
    </row>
  </sheetData>
  <mergeCells count="3">
    <mergeCell ref="A32:XFD32"/>
    <mergeCell ref="A48:XFD48"/>
    <mergeCell ref="A23:XFD23"/>
  </mergeCells>
  <hyperlinks>
    <hyperlink ref="B9" r:id="rId1" display="https://10.10.225.26:18080"/>
    <hyperlink ref="J39" r:id="rId2"/>
    <hyperlink ref="B35" r:id="rId3"/>
    <hyperlink ref="B36" r:id="rId4"/>
    <hyperlink ref="B37" r:id="rId5"/>
    <hyperlink ref="B38" r:id="rId6"/>
    <hyperlink ref="B39" r:id="rId7"/>
    <hyperlink ref="B40" r:id="rId8"/>
    <hyperlink ref="B41" r:id="rId9"/>
    <hyperlink ref="B42" r:id="rId10"/>
    <hyperlink ref="B43" r:id="rId11"/>
  </hyperlinks>
  <pageMargins left="0.7" right="0.7" top="0.75" bottom="0.75" header="0.3" footer="0.3"/>
  <pageSetup orientation="portrait" r:id="rId12"/>
  <legacyDrawing r:id="rId1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C10"/>
  <sheetViews>
    <sheetView workbookViewId="0">
      <selection activeCell="B13" sqref="B13"/>
    </sheetView>
  </sheetViews>
  <sheetFormatPr defaultColWidth="8.7109375" defaultRowHeight="15" x14ac:dyDescent="0.25"/>
  <cols>
    <col min="1" max="1" width="16.5703125" style="87" customWidth="1"/>
    <col min="2" max="2" width="26" style="88" customWidth="1"/>
    <col min="3" max="3" width="28.42578125" style="89" customWidth="1"/>
    <col min="4" max="16384" width="8.7109375" style="84"/>
  </cols>
  <sheetData>
    <row r="1" spans="1:3" x14ac:dyDescent="0.25">
      <c r="A1" s="92"/>
      <c r="B1" s="93" t="s">
        <v>471</v>
      </c>
      <c r="C1" s="94"/>
    </row>
    <row r="2" spans="1:3" x14ac:dyDescent="0.25">
      <c r="A2" s="90" t="s">
        <v>449</v>
      </c>
      <c r="B2" s="85" t="s">
        <v>467</v>
      </c>
      <c r="C2" s="86" t="s">
        <v>468</v>
      </c>
    </row>
    <row r="3" spans="1:3" x14ac:dyDescent="0.25">
      <c r="A3" s="90" t="s">
        <v>472</v>
      </c>
      <c r="B3" s="85" t="s">
        <v>4</v>
      </c>
      <c r="C3" s="86" t="s">
        <v>4</v>
      </c>
    </row>
    <row r="4" spans="1:3" x14ac:dyDescent="0.25">
      <c r="A4" s="90" t="s">
        <v>473</v>
      </c>
      <c r="B4" s="85" t="s">
        <v>170</v>
      </c>
      <c r="C4" s="86" t="s">
        <v>170</v>
      </c>
    </row>
    <row r="5" spans="1:3" x14ac:dyDescent="0.25">
      <c r="A5" s="91" t="s">
        <v>465</v>
      </c>
      <c r="B5" s="88" t="s">
        <v>470</v>
      </c>
      <c r="C5" s="86" t="s">
        <v>476</v>
      </c>
    </row>
    <row r="6" spans="1:3" x14ac:dyDescent="0.25">
      <c r="A6" s="91" t="s">
        <v>474</v>
      </c>
      <c r="B6" s="88" t="s">
        <v>4</v>
      </c>
      <c r="C6" s="86" t="s">
        <v>4</v>
      </c>
    </row>
    <row r="7" spans="1:3" x14ac:dyDescent="0.25">
      <c r="A7" s="91" t="s">
        <v>475</v>
      </c>
      <c r="B7" s="88" t="s">
        <v>170</v>
      </c>
      <c r="C7" s="86" t="s">
        <v>170</v>
      </c>
    </row>
    <row r="8" spans="1:3" x14ac:dyDescent="0.25">
      <c r="A8" s="87" t="s">
        <v>466</v>
      </c>
      <c r="B8" s="88" t="s">
        <v>469</v>
      </c>
    </row>
    <row r="9" spans="1:3" x14ac:dyDescent="0.25">
      <c r="A9" s="87" t="s">
        <v>477</v>
      </c>
      <c r="B9" s="88" t="s">
        <v>479</v>
      </c>
    </row>
    <row r="10" spans="1:3" x14ac:dyDescent="0.25">
      <c r="A10" s="87" t="s">
        <v>478</v>
      </c>
      <c r="B10" s="88" t="s">
        <v>480</v>
      </c>
    </row>
  </sheetData>
  <sheetProtection sheet="1" objects="1" scenarios="1"/>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Summary</vt:lpstr>
      <vt:lpstr>Raid Config</vt:lpstr>
      <vt:lpstr>OS Config</vt:lpstr>
      <vt:lpstr>Controller Config</vt:lpstr>
      <vt:lpstr>Network Config</vt:lpstr>
      <vt:lpstr>Host Config</vt:lpstr>
      <vt:lpstr>Flavor</vt:lpstr>
      <vt:lpstr>IDRAC_Inventory</vt:lpstr>
      <vt:lpstr>HeatTemplate_Conf</vt:lpstr>
      <vt:lpstr>Instantiating CMS</vt:lpstr>
      <vt:lpstr>Instantiating VNFM</vt:lpstr>
      <vt:lpstr>CRDL</vt:lpstr>
      <vt:lpstr>CONTROLLER_Inventory</vt:lpstr>
      <vt:lpstr>VLD</vt:lpstr>
      <vt:lpstr>VNFD</vt:lpstr>
      <vt:lpstr>NSD</vt:lpstr>
      <vt:lpstr>LVND</vt:lpstr>
      <vt:lpstr>LCMD</vt:lpstr>
      <vt:lpstr>VNFM_config</vt:lpstr>
      <vt:lpstr>Ping_Test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Sriram G N</dc:creator>
  <cp:lastModifiedBy>Srinivasa Golla</cp:lastModifiedBy>
  <dcterms:created xsi:type="dcterms:W3CDTF">2018-04-06T05:07:41Z</dcterms:created>
  <dcterms:modified xsi:type="dcterms:W3CDTF">2019-04-30T12:34:01Z</dcterms:modified>
</cp:coreProperties>
</file>